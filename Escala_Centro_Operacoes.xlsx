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mensionamento" sheetId="1" state="visible" r:id="rId1"/>
    <sheet name="Postos" sheetId="2" state="visible" r:id="rId2"/>
    <sheet name="Funcionarios" sheetId="3" state="visible" r:id="rId3"/>
    <sheet name="Escala (modelo)" sheetId="4" state="visible" r:id="rId4"/>
    <sheet name="Banco Conhecimento" sheetId="5" state="visible" r:id="rId5"/>
    <sheet name="Horas Extras" sheetId="6" state="visible" r:id="rId6"/>
  </sheets>
  <definedNames/>
  <calcPr calcId="124519" fullCalcOnLoad="1"/>
</workbook>
</file>

<file path=xl/styles.xml><?xml version="1.0" encoding="utf-8"?>
<styleSheet xmlns="http://schemas.openxmlformats.org/spreadsheetml/2006/main">
  <numFmts count="2">
    <numFmt numFmtId="164" formatCode="dd/mm/yyyy"/>
    <numFmt numFmtId="165" formatCode="yyyy-mm-dd"/>
  </numFmts>
  <fonts count="6">
    <font>
      <name val="Calibri"/>
      <family val="2"/>
      <color theme="1"/>
      <sz val="11"/>
      <scheme val="minor"/>
    </font>
    <font>
      <b val="1"/>
      <color rgb="00FFFFFF"/>
      <sz val="14"/>
    </font>
    <font>
      <b val="1"/>
    </font>
    <font>
      <b val="1"/>
      <color rgb="00FFFFFF"/>
    </font>
    <font>
      <i val="1"/>
      <sz val="9"/>
    </font>
    <font>
      <b val="1"/>
      <sz val="12"/>
    </font>
  </fonts>
  <fills count="9">
    <fill>
      <patternFill/>
    </fill>
    <fill>
      <patternFill patternType="gray125"/>
    </fill>
    <fill>
      <patternFill patternType="solid">
        <fgColor rgb="00375623"/>
      </patternFill>
    </fill>
    <fill>
      <patternFill patternType="solid">
        <fgColor rgb="00C6E0B4"/>
      </patternFill>
    </fill>
    <fill>
      <patternFill patternType="solid">
        <fgColor rgb="0070AD47"/>
      </patternFill>
    </fill>
    <fill>
      <patternFill patternType="solid">
        <fgColor rgb="00E2EFDA"/>
      </patternFill>
    </fill>
    <fill>
      <patternFill patternType="solid">
        <fgColor rgb="00FFF2CC"/>
      </patternFill>
    </fill>
    <fill>
      <patternFill patternType="solid">
        <fgColor rgb="00DDEBF7"/>
      </patternFill>
    </fill>
    <fill>
      <patternFill patternType="solid">
        <fgColor rgb="00D9D9D9"/>
      </patternFill>
    </fill>
  </fills>
  <borders count="5">
    <border>
      <left/>
      <right/>
      <top/>
      <bottom/>
      <diagonal/>
    </border>
    <border>
      <left style="thin">
        <color rgb="00A6A6A6"/>
      </left>
      <right style="thin">
        <color rgb="00A6A6A6"/>
      </right>
      <top style="thin">
        <color rgb="00A6A6A6"/>
      </top>
      <bottom style="thin">
        <color rgb="00A6A6A6"/>
      </bottom>
    </border>
    <border>
      <left style="thin">
        <color rgb="00A6A6A6"/>
      </left>
      <right/>
      <top/>
      <bottom/>
      <diagonal/>
    </border>
    <border>
      <left style="thin">
        <color rgb="00A6A6A6"/>
      </left>
      <right style="thin">
        <color rgb="00A6A6A6"/>
      </right>
      <top/>
      <bottom/>
      <diagonal/>
    </border>
    <border>
      <left style="thin">
        <color rgb="00A6A6A6"/>
      </left>
      <right style="thin">
        <color rgb="00A6A6A6"/>
      </right>
      <top/>
      <bottom style="thin">
        <color rgb="00A6A6A6"/>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4" borderId="1" applyAlignment="1" pivotButton="0" quotePrefix="0" xfId="0">
      <alignment horizontal="center" vertical="center" wrapText="1"/>
    </xf>
    <xf numFmtId="0" fontId="0" fillId="5" borderId="1" applyAlignment="1" pivotButton="0" quotePrefix="0" xfId="0">
      <alignment horizontal="left" vertical="center" wrapText="1"/>
    </xf>
    <xf numFmtId="0" fontId="2" fillId="0" borderId="1" applyAlignment="1" pivotButton="0" quotePrefix="0" xfId="0">
      <alignment horizontal="center" vertical="center" wrapText="1"/>
    </xf>
    <xf numFmtId="0" fontId="4" fillId="0" borderId="0" applyAlignment="1" pivotButton="0" quotePrefix="0" xfId="0">
      <alignment horizontal="left" vertical="center" wrapText="1"/>
    </xf>
    <xf numFmtId="0" fontId="0" fillId="0" borderId="1" applyAlignment="1" pivotButton="0" quotePrefix="0" xfId="0">
      <alignment horizontal="center" vertical="center" wrapText="1"/>
    </xf>
    <xf numFmtId="0" fontId="2" fillId="6"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5" borderId="1" applyAlignment="1" pivotButton="0" quotePrefix="0" xfId="0">
      <alignment horizontal="center" vertical="center" wrapText="1"/>
    </xf>
    <xf numFmtId="0" fontId="2" fillId="5"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7" borderId="1" applyAlignment="1" pivotButton="0" quotePrefix="0" xfId="0">
      <alignment horizontal="left" vertical="center" wrapText="1"/>
    </xf>
    <xf numFmtId="0" fontId="3" fillId="4" borderId="0"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2" fillId="0" borderId="0" pivotButton="0" quotePrefix="0" xfId="0"/>
    <xf numFmtId="164" fontId="0" fillId="0" borderId="0" pivotButton="0" quotePrefix="0" xfId="0"/>
    <xf numFmtId="164"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35"/>
  <sheetViews>
    <sheetView showGridLines="0" workbookViewId="0">
      <selection activeCell="A1" sqref="A1"/>
    </sheetView>
  </sheetViews>
  <sheetFormatPr baseColWidth="8" defaultRowHeight="15"/>
  <cols>
    <col width="3" customWidth="1" min="1" max="1"/>
    <col width="46" customWidth="1" min="2" max="2"/>
    <col width="16" customWidth="1" min="3" max="3"/>
    <col width="16" customWidth="1" min="4" max="4"/>
    <col width="16" customWidth="1" min="5" max="5"/>
    <col width="16" customWidth="1" min="6" max="6"/>
    <col width="40" customWidth="1" min="7" max="7"/>
  </cols>
  <sheetData>
    <row r="2" ht="28" customHeight="1">
      <c r="B2" s="1" t="inlineStr">
        <is>
          <t>DIMENSIONAMENTO DA EQUIPE - CENTRO DE OPERACOES 24h</t>
        </is>
      </c>
    </row>
    <row r="4">
      <c r="B4" s="2" t="inlineStr">
        <is>
          <t>1) PREMISSAS DA OPERACAO</t>
        </is>
      </c>
    </row>
    <row r="5">
      <c r="B5" s="3" t="inlineStr">
        <is>
          <t>Parametro</t>
        </is>
      </c>
      <c r="C5" s="3" t="inlineStr">
        <is>
          <t>Valor</t>
        </is>
      </c>
    </row>
    <row r="6">
      <c r="B6" s="4" t="inlineStr">
        <is>
          <t>Postos diurnos (07:00-15:30) - 7 dias/sem</t>
        </is>
      </c>
      <c r="C6" s="5" t="n">
        <v>26</v>
      </c>
    </row>
    <row r="7">
      <c r="B7" s="4" t="inlineStr">
        <is>
          <t>Postos tarde (15:00-23:30) - 7 dias/sem</t>
        </is>
      </c>
      <c r="C7" s="5" t="n">
        <v>26</v>
      </c>
    </row>
    <row r="8">
      <c r="B8" s="4" t="inlineStr">
        <is>
          <t>Postos noturnos (23:00-07:30) - 7 dias/sem (agrupados)</t>
        </is>
      </c>
      <c r="C8" s="5" t="n">
        <v>5</v>
      </c>
    </row>
    <row r="9">
      <c r="B9" s="4" t="inlineStr">
        <is>
          <t>Postos de apoio (seg a sex, diurno)</t>
        </is>
      </c>
      <c r="C9" s="5" t="n">
        <v>2</v>
      </c>
    </row>
    <row r="10">
      <c r="B10" s="4" t="inlineStr">
        <is>
          <t>Dias de ferias por ano (por funcionario)</t>
        </is>
      </c>
      <c r="C10" s="5" t="n">
        <v>30</v>
      </c>
    </row>
    <row r="11">
      <c r="B11" s="4" t="inlineStr">
        <is>
          <t>Regime de trabalho</t>
        </is>
      </c>
      <c r="C11" s="5" t="inlineStr">
        <is>
          <t>6x3</t>
        </is>
      </c>
    </row>
    <row r="12">
      <c r="B12" s="4" t="inlineStr">
        <is>
          <t>Limite de hora extra por mes (horas)</t>
        </is>
      </c>
      <c r="C12" s="5" t="n">
        <v>52</v>
      </c>
    </row>
    <row r="14">
      <c r="B14" s="2" t="inlineStr">
        <is>
          <t>2) BASE DE CALCULO</t>
        </is>
      </c>
    </row>
    <row r="15" ht="26" customHeight="1">
      <c r="B15" s="6" t="inlineStr">
        <is>
          <t>Regime 6x3: a cada ciclo de 9 dias o funcionario trabalha 6. Fator de cobertura continua = 9/6 = 1,5 pessoas por posto.</t>
        </is>
      </c>
    </row>
    <row r="16" ht="26" customHeight="1">
      <c r="B16" s="6" t="inlineStr">
        <is>
          <t>Dias uteis trabalhados/ano por pessoa (6x3): 365 x 6/9 = 243 dias.</t>
        </is>
      </c>
    </row>
    <row r="17" ht="26" customHeight="1">
      <c r="B17" s="6" t="inlineStr">
        <is>
          <t>Desconto de ferias (30 dias corridos): perde ~20 dias de trabalho/ano. Disponibilidade liquida = ~223 dias/ano.</t>
        </is>
      </c>
    </row>
    <row r="18" ht="26" customHeight="1">
      <c r="B18" s="6" t="inlineStr">
        <is>
          <t>Headcount por turno = (postos x 365) / 223 dias liquidos. Apoio usa 261 dias uteis/ano.</t>
        </is>
      </c>
    </row>
    <row r="20">
      <c r="B20" s="2" t="inlineStr">
        <is>
          <t>3) NECESSIDADE DE PESSOAL POR TURNO</t>
        </is>
      </c>
    </row>
    <row r="21">
      <c r="B21" s="3" t="inlineStr">
        <is>
          <t>Turno</t>
        </is>
      </c>
      <c r="C21" s="3" t="inlineStr">
        <is>
          <t>Postos</t>
        </is>
      </c>
      <c r="D21" s="3" t="inlineStr">
        <is>
          <t>Dias/ano</t>
        </is>
      </c>
      <c r="E21" s="3" t="inlineStr">
        <is>
          <t>Pessoa-dias</t>
        </is>
      </c>
      <c r="F21" s="3" t="inlineStr">
        <is>
          <t>Disp./ano</t>
        </is>
      </c>
      <c r="G21" s="3" t="inlineStr">
        <is>
          <t>Funcionarios</t>
        </is>
      </c>
    </row>
    <row r="22">
      <c r="B22" s="4" t="inlineStr">
        <is>
          <t>Diurno 07:00-15:30</t>
        </is>
      </c>
      <c r="C22" s="7" t="n">
        <v>26</v>
      </c>
      <c r="D22" s="7" t="n">
        <v>365</v>
      </c>
      <c r="E22" s="7">
        <f>C22*D22</f>
        <v/>
      </c>
      <c r="F22" s="7" t="n">
        <v>223</v>
      </c>
      <c r="G22" s="5">
        <f>ROUNDUP(E22/F22,0)</f>
        <v/>
      </c>
    </row>
    <row r="23">
      <c r="B23" s="4" t="inlineStr">
        <is>
          <t>Tarde 15:00-23:30</t>
        </is>
      </c>
      <c r="C23" s="7" t="n">
        <v>26</v>
      </c>
      <c r="D23" s="7" t="n">
        <v>365</v>
      </c>
      <c r="E23" s="7">
        <f>C23*D23</f>
        <v/>
      </c>
      <c r="F23" s="7" t="n">
        <v>223</v>
      </c>
      <c r="G23" s="5">
        <f>ROUNDUP(E23/F23,0)</f>
        <v/>
      </c>
    </row>
    <row r="24">
      <c r="B24" s="4" t="inlineStr">
        <is>
          <t>Noturno 23:00-07:30 (5 agrupados)</t>
        </is>
      </c>
      <c r="C24" s="7" t="n">
        <v>5</v>
      </c>
      <c r="D24" s="7" t="n">
        <v>365</v>
      </c>
      <c r="E24" s="7">
        <f>C24*D24</f>
        <v/>
      </c>
      <c r="F24" s="7" t="n">
        <v>223</v>
      </c>
      <c r="G24" s="5">
        <f>ROUNDUP(E24/F24,0)</f>
        <v/>
      </c>
    </row>
    <row r="25">
      <c r="B25" s="4" t="inlineStr">
        <is>
          <t>Apoio seg-sex (diurno)</t>
        </is>
      </c>
      <c r="C25" s="7" t="n">
        <v>2</v>
      </c>
      <c r="D25" s="7" t="n">
        <v>261</v>
      </c>
      <c r="E25" s="7">
        <f>C25*D25</f>
        <v/>
      </c>
      <c r="F25" s="7" t="n">
        <v>223</v>
      </c>
      <c r="G25" s="5">
        <f>ROUNDUP(E25/F25,0)</f>
        <v/>
      </c>
    </row>
    <row r="26">
      <c r="B26" s="8" t="inlineStr">
        <is>
          <t>TOTAL DE FUNCIONARIOS (efetivo)</t>
        </is>
      </c>
      <c r="C26" s="8" t="n"/>
      <c r="D26" s="8" t="n"/>
      <c r="E26" s="8" t="n"/>
      <c r="F26" s="8" t="n"/>
      <c r="G26" s="8">
        <f>SUM(G22:G25)</f>
        <v/>
      </c>
    </row>
    <row r="28">
      <c r="B28" s="2" t="inlineStr">
        <is>
          <t>4) FIXOS x VARIAVEIS (continuidade no posto)</t>
        </is>
      </c>
    </row>
    <row r="29" ht="28" customHeight="1">
      <c r="B29" s="6" t="inlineStr">
        <is>
          <t>Estrategia: 1 TITULAR fixo por posto (mantem a mesma pessoa no mesmo posto). Os demais sao VOLANTES/COBERTURA, que cobrem folgas, ferias e faltas e por isso tem posto variavel.</t>
        </is>
      </c>
    </row>
    <row r="30">
      <c r="B30" s="3" t="inlineStr">
        <is>
          <t>Categoria</t>
        </is>
      </c>
      <c r="C30" s="3" t="inlineStr">
        <is>
          <t>Qtde</t>
        </is>
      </c>
      <c r="D30" s="3" t="inlineStr">
        <is>
          <t>Observacao</t>
        </is>
      </c>
      <c r="E30" s="3" t="n"/>
      <c r="F30" s="3" t="n"/>
      <c r="G30" s="3" t="n"/>
    </row>
    <row r="31">
      <c r="B31" s="7" t="inlineStr">
        <is>
          <t>Titulares (POSTO FIXO)</t>
        </is>
      </c>
      <c r="C31" s="5">
        <f>26+26+5+2</f>
        <v/>
      </c>
      <c r="D31" s="9" t="inlineStr">
        <is>
          <t>Um por posto (26 diurno + 26 tarde + 5 noite + 2 apoio)</t>
        </is>
      </c>
    </row>
    <row r="32">
      <c r="B32" s="10" t="inlineStr">
        <is>
          <t>Volantes / Cobertura (POSTO VARIAVEL)</t>
        </is>
      </c>
      <c r="C32" s="11">
        <f>G26-C31</f>
        <v/>
      </c>
      <c r="D32" s="9" t="inlineStr">
        <is>
          <t>Cobrem folgas do 6x3, ferias e faltas; rodam entre postos</t>
        </is>
      </c>
    </row>
    <row r="34">
      <c r="B34" s="2" t="inlineStr">
        <is>
          <t>5) HORA EXTRA (folga de seguranca)</t>
        </is>
      </c>
    </row>
    <row r="35" ht="30" customHeight="1">
      <c r="B35" s="6" t="inlineStr">
        <is>
          <t>Faltas/atestados imprevistos sao cobertos por hora extra (limite 52h/mes por pessoa). Uma jornada de cobertura = 8,5h, entao cada pessoa pode fazer ate ~6 coberturas extras/mes. Ver aba 'Horas Extras'.</t>
        </is>
      </c>
    </row>
  </sheetData>
  <mergeCells count="15">
    <mergeCell ref="B2:G2"/>
    <mergeCell ref="B16:G16"/>
    <mergeCell ref="B20:G20"/>
    <mergeCell ref="D31:G31"/>
    <mergeCell ref="B28:G28"/>
    <mergeCell ref="B34:G34"/>
    <mergeCell ref="B14:G14"/>
    <mergeCell ref="B17:G17"/>
    <mergeCell ref="D30:G30"/>
    <mergeCell ref="B4:G4"/>
    <mergeCell ref="B35:G35"/>
    <mergeCell ref="B18:G18"/>
    <mergeCell ref="B29:G29"/>
    <mergeCell ref="B15:G15"/>
    <mergeCell ref="D32:G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D63"/>
  <sheetViews>
    <sheetView showGridLines="0" workbookViewId="0">
      <selection activeCell="A1" sqref="A1"/>
    </sheetView>
  </sheetViews>
  <sheetFormatPr baseColWidth="8" defaultRowHeight="15"/>
  <cols>
    <col width="4" customWidth="1" min="1" max="1"/>
    <col width="16" customWidth="1" min="2" max="2"/>
    <col width="22" customWidth="1" min="3" max="3"/>
    <col width="18" customWidth="1" min="4" max="4"/>
  </cols>
  <sheetData>
    <row r="2">
      <c r="B2" s="1" t="inlineStr">
        <is>
          <t>CADASTRO DE POSTOS</t>
        </is>
      </c>
    </row>
    <row r="4">
      <c r="A4" s="3" t="inlineStr">
        <is>
          <t>ID</t>
        </is>
      </c>
      <c r="B4" s="3" t="inlineStr">
        <is>
          <t>Malha</t>
        </is>
      </c>
      <c r="C4" s="3" t="inlineStr">
        <is>
          <t>Posto</t>
        </is>
      </c>
      <c r="D4" s="3" t="inlineStr">
        <is>
          <t>Turno</t>
        </is>
      </c>
    </row>
    <row r="5">
      <c r="A5" s="10" t="n">
        <v>1</v>
      </c>
      <c r="B5" s="10" t="inlineStr">
        <is>
          <t>CENTRO</t>
        </is>
      </c>
      <c r="C5" s="10" t="inlineStr">
        <is>
          <t>BH/NL</t>
        </is>
      </c>
      <c r="D5" s="10" t="inlineStr">
        <is>
          <t>07:00-15:30</t>
        </is>
      </c>
    </row>
    <row r="6">
      <c r="A6" s="10" t="n">
        <v>2</v>
      </c>
      <c r="B6" s="10" t="inlineStr">
        <is>
          <t>CENTRO</t>
        </is>
      </c>
      <c r="C6" s="10" t="inlineStr">
        <is>
          <t>SG/AR</t>
        </is>
      </c>
      <c r="D6" s="10" t="inlineStr">
        <is>
          <t>07:00-15:30</t>
        </is>
      </c>
    </row>
    <row r="7">
      <c r="A7" s="10" t="n">
        <v>3</v>
      </c>
      <c r="B7" s="10" t="inlineStr">
        <is>
          <t>CENTRO</t>
        </is>
      </c>
      <c r="C7" s="10" t="inlineStr">
        <is>
          <t>BT</t>
        </is>
      </c>
      <c r="D7" s="10" t="inlineStr">
        <is>
          <t>07:00-15:30</t>
        </is>
      </c>
    </row>
    <row r="8">
      <c r="A8" s="10" t="n">
        <v>4</v>
      </c>
      <c r="B8" s="10" t="inlineStr">
        <is>
          <t>CENTRO</t>
        </is>
      </c>
      <c r="C8" s="10" t="inlineStr">
        <is>
          <t>SL</t>
        </is>
      </c>
      <c r="D8" s="10" t="inlineStr">
        <is>
          <t>07:00-15:30</t>
        </is>
      </c>
    </row>
    <row r="9">
      <c r="A9" s="10" t="n">
        <v>5</v>
      </c>
      <c r="B9" s="10" t="inlineStr">
        <is>
          <t>LESTE</t>
        </is>
      </c>
      <c r="C9" s="10" t="inlineStr">
        <is>
          <t>GV</t>
        </is>
      </c>
      <c r="D9" s="10" t="inlineStr">
        <is>
          <t>07:00-15:30</t>
        </is>
      </c>
    </row>
    <row r="10">
      <c r="A10" s="10" t="n">
        <v>6</v>
      </c>
      <c r="B10" s="10" t="inlineStr">
        <is>
          <t>LESTE</t>
        </is>
      </c>
      <c r="C10" s="10" t="inlineStr">
        <is>
          <t>RA/PO</t>
        </is>
      </c>
      <c r="D10" s="10" t="inlineStr">
        <is>
          <t>07:00-15:30</t>
        </is>
      </c>
    </row>
    <row r="11">
      <c r="A11" s="10" t="n">
        <v>7</v>
      </c>
      <c r="B11" s="10" t="inlineStr">
        <is>
          <t>LESTE</t>
        </is>
      </c>
      <c r="C11" s="10" t="inlineStr">
        <is>
          <t>TO/PR</t>
        </is>
      </c>
      <c r="D11" s="10" t="inlineStr">
        <is>
          <t>07:00-15:30</t>
        </is>
      </c>
    </row>
    <row r="12">
      <c r="A12" s="10" t="n">
        <v>8</v>
      </c>
      <c r="B12" s="10" t="inlineStr">
        <is>
          <t>LESTE</t>
        </is>
      </c>
      <c r="C12" s="10" t="inlineStr">
        <is>
          <t>IP/AG</t>
        </is>
      </c>
      <c r="D12" s="10" t="inlineStr">
        <is>
          <t>07:00-15:30</t>
        </is>
      </c>
    </row>
    <row r="13">
      <c r="A13" s="10" t="n">
        <v>9</v>
      </c>
      <c r="B13" s="10" t="inlineStr">
        <is>
          <t>OESTE</t>
        </is>
      </c>
      <c r="C13" s="10" t="inlineStr">
        <is>
          <t>DV/IJ</t>
        </is>
      </c>
      <c r="D13" s="10" t="inlineStr">
        <is>
          <t>07:00-15:30</t>
        </is>
      </c>
    </row>
    <row r="14">
      <c r="A14" s="10" t="n">
        <v>10</v>
      </c>
      <c r="B14" s="10" t="inlineStr">
        <is>
          <t>OESTE</t>
        </is>
      </c>
      <c r="C14" s="10" t="inlineStr">
        <is>
          <t>FM/CL</t>
        </is>
      </c>
      <c r="D14" s="10" t="inlineStr">
        <is>
          <t>07:00-15:30</t>
        </is>
      </c>
    </row>
    <row r="15">
      <c r="A15" s="10" t="n">
        <v>11</v>
      </c>
      <c r="B15" s="10" t="inlineStr">
        <is>
          <t>OESTE</t>
        </is>
      </c>
      <c r="C15" s="10" t="inlineStr">
        <is>
          <t>IA/CR</t>
        </is>
      </c>
      <c r="D15" s="10" t="inlineStr">
        <is>
          <t>07:00-15:30</t>
        </is>
      </c>
    </row>
    <row r="16">
      <c r="A16" s="10" t="n">
        <v>12</v>
      </c>
      <c r="B16" s="10" t="inlineStr">
        <is>
          <t>NORTE</t>
        </is>
      </c>
      <c r="C16" s="10" t="inlineStr">
        <is>
          <t>MO/SI</t>
        </is>
      </c>
      <c r="D16" s="10" t="inlineStr">
        <is>
          <t>07:00-15:30</t>
        </is>
      </c>
    </row>
    <row r="17">
      <c r="A17" s="10" t="n">
        <v>13</v>
      </c>
      <c r="B17" s="10" t="inlineStr">
        <is>
          <t>NORTE</t>
        </is>
      </c>
      <c r="C17" s="10" t="inlineStr">
        <is>
          <t>PT/AL</t>
        </is>
      </c>
      <c r="D17" s="10" t="inlineStr">
        <is>
          <t>07:00-15:30</t>
        </is>
      </c>
    </row>
    <row r="18">
      <c r="A18" s="10" t="n">
        <v>14</v>
      </c>
      <c r="B18" s="10" t="inlineStr">
        <is>
          <t>NORTE</t>
        </is>
      </c>
      <c r="C18" s="10" t="inlineStr">
        <is>
          <t>JN/BC</t>
        </is>
      </c>
      <c r="D18" s="10" t="inlineStr">
        <is>
          <t>07:00-15:30</t>
        </is>
      </c>
    </row>
    <row r="19">
      <c r="A19" s="10" t="n">
        <v>15</v>
      </c>
      <c r="B19" s="10" t="inlineStr">
        <is>
          <t>NORTE</t>
        </is>
      </c>
      <c r="C19" s="10" t="inlineStr">
        <is>
          <t>JB/PI</t>
        </is>
      </c>
      <c r="D19" s="10" t="inlineStr">
        <is>
          <t>07:00-15:30</t>
        </is>
      </c>
    </row>
    <row r="20">
      <c r="A20" s="10" t="n">
        <v>16</v>
      </c>
      <c r="B20" s="10" t="inlineStr">
        <is>
          <t>MANTIQUEIRA</t>
        </is>
      </c>
      <c r="C20" s="10" t="inlineStr">
        <is>
          <t>JF/OP</t>
        </is>
      </c>
      <c r="D20" s="10" t="inlineStr">
        <is>
          <t>07:00-15:30</t>
        </is>
      </c>
    </row>
    <row r="21">
      <c r="A21" s="10" t="n">
        <v>17</v>
      </c>
      <c r="B21" s="10" t="inlineStr">
        <is>
          <t>MANTIQUEIRA</t>
        </is>
      </c>
      <c r="C21" s="10" t="inlineStr">
        <is>
          <t>PN/LV</t>
        </is>
      </c>
      <c r="D21" s="10" t="inlineStr">
        <is>
          <t>07:00-15:30</t>
        </is>
      </c>
    </row>
    <row r="22">
      <c r="A22" s="10" t="n">
        <v>18</v>
      </c>
      <c r="B22" s="10" t="inlineStr">
        <is>
          <t>MANTIQUEIRA</t>
        </is>
      </c>
      <c r="C22" s="10" t="inlineStr">
        <is>
          <t>LF/BD</t>
        </is>
      </c>
      <c r="D22" s="10" t="inlineStr">
        <is>
          <t>07:00-15:30</t>
        </is>
      </c>
    </row>
    <row r="23">
      <c r="A23" s="10" t="n">
        <v>19</v>
      </c>
      <c r="B23" s="10" t="inlineStr">
        <is>
          <t>TRIANGULO</t>
        </is>
      </c>
      <c r="C23" s="10" t="inlineStr">
        <is>
          <t>UL/IR</t>
        </is>
      </c>
      <c r="D23" s="10" t="inlineStr">
        <is>
          <t>07:00-15:30</t>
        </is>
      </c>
    </row>
    <row r="24">
      <c r="A24" s="10" t="n">
        <v>20</v>
      </c>
      <c r="B24" s="10" t="inlineStr">
        <is>
          <t>TRIANGULO</t>
        </is>
      </c>
      <c r="C24" s="10" t="inlineStr">
        <is>
          <t>PM/PS</t>
        </is>
      </c>
      <c r="D24" s="10" t="inlineStr">
        <is>
          <t>07:00-15:30</t>
        </is>
      </c>
    </row>
    <row r="25">
      <c r="A25" s="10" t="n">
        <v>21</v>
      </c>
      <c r="B25" s="10" t="inlineStr">
        <is>
          <t>TRIANGULO</t>
        </is>
      </c>
      <c r="C25" s="10" t="inlineStr">
        <is>
          <t>TB/AF</t>
        </is>
      </c>
      <c r="D25" s="10" t="inlineStr">
        <is>
          <t>07:00-15:30</t>
        </is>
      </c>
    </row>
    <row r="26">
      <c r="A26" s="10" t="n">
        <v>22</v>
      </c>
      <c r="B26" s="10" t="inlineStr">
        <is>
          <t>TRIANGULO</t>
        </is>
      </c>
      <c r="C26" s="10" t="inlineStr">
        <is>
          <t>UR/JM</t>
        </is>
      </c>
      <c r="D26" s="10" t="inlineStr">
        <is>
          <t>07:00-15:30</t>
        </is>
      </c>
    </row>
    <row r="27">
      <c r="A27" s="10" t="n">
        <v>23</v>
      </c>
      <c r="B27" s="10" t="inlineStr">
        <is>
          <t>SUL</t>
        </is>
      </c>
      <c r="C27" s="10" t="inlineStr">
        <is>
          <t>PA/SJ</t>
        </is>
      </c>
      <c r="D27" s="10" t="inlineStr">
        <is>
          <t>07:00-15:30</t>
        </is>
      </c>
    </row>
    <row r="28">
      <c r="A28" s="10" t="n">
        <v>24</v>
      </c>
      <c r="B28" s="10" t="inlineStr">
        <is>
          <t>SUL</t>
        </is>
      </c>
      <c r="C28" s="10" t="inlineStr">
        <is>
          <t>TC/FR</t>
        </is>
      </c>
      <c r="D28" s="10" t="inlineStr">
        <is>
          <t>07:00-15:30</t>
        </is>
      </c>
    </row>
    <row r="29">
      <c r="A29" s="10" t="n">
        <v>25</v>
      </c>
      <c r="B29" s="10" t="inlineStr">
        <is>
          <t>SUL</t>
        </is>
      </c>
      <c r="C29" s="10" t="inlineStr">
        <is>
          <t>VR/AX</t>
        </is>
      </c>
      <c r="D29" s="10" t="inlineStr">
        <is>
          <t>07:00-15:30</t>
        </is>
      </c>
    </row>
    <row r="30">
      <c r="A30" s="10" t="n">
        <v>26</v>
      </c>
      <c r="B30" s="10" t="inlineStr">
        <is>
          <t>CENTRO</t>
        </is>
      </c>
      <c r="C30" s="10" t="inlineStr">
        <is>
          <t>CN/MG</t>
        </is>
      </c>
      <c r="D30" s="10" t="inlineStr">
        <is>
          <t>07:00-15:30</t>
        </is>
      </c>
    </row>
    <row r="31">
      <c r="A31" s="12" t="n">
        <v>27</v>
      </c>
      <c r="B31" s="12" t="inlineStr">
        <is>
          <t>CENTRO</t>
        </is>
      </c>
      <c r="C31" s="12" t="inlineStr">
        <is>
          <t>BH/NL</t>
        </is>
      </c>
      <c r="D31" s="12" t="inlineStr">
        <is>
          <t>15:00-23:30</t>
        </is>
      </c>
    </row>
    <row r="32">
      <c r="A32" s="12" t="n">
        <v>28</v>
      </c>
      <c r="B32" s="12" t="inlineStr">
        <is>
          <t>CENTRO</t>
        </is>
      </c>
      <c r="C32" s="12" t="inlineStr">
        <is>
          <t>SG/AR</t>
        </is>
      </c>
      <c r="D32" s="12" t="inlineStr">
        <is>
          <t>15:00-23:30</t>
        </is>
      </c>
    </row>
    <row r="33">
      <c r="A33" s="12" t="n">
        <v>29</v>
      </c>
      <c r="B33" s="12" t="inlineStr">
        <is>
          <t>CENTRO</t>
        </is>
      </c>
      <c r="C33" s="12" t="inlineStr">
        <is>
          <t>BT</t>
        </is>
      </c>
      <c r="D33" s="12" t="inlineStr">
        <is>
          <t>15:00-23:30</t>
        </is>
      </c>
    </row>
    <row r="34">
      <c r="A34" s="12" t="n">
        <v>30</v>
      </c>
      <c r="B34" s="12" t="inlineStr">
        <is>
          <t>CENTRO</t>
        </is>
      </c>
      <c r="C34" s="12" t="inlineStr">
        <is>
          <t>SL</t>
        </is>
      </c>
      <c r="D34" s="12" t="inlineStr">
        <is>
          <t>15:00-23:30</t>
        </is>
      </c>
    </row>
    <row r="35">
      <c r="A35" s="12" t="n">
        <v>31</v>
      </c>
      <c r="B35" s="12" t="inlineStr">
        <is>
          <t>LESTE</t>
        </is>
      </c>
      <c r="C35" s="12" t="inlineStr">
        <is>
          <t>GV</t>
        </is>
      </c>
      <c r="D35" s="12" t="inlineStr">
        <is>
          <t>15:00-23:30</t>
        </is>
      </c>
    </row>
    <row r="36">
      <c r="A36" s="12" t="n">
        <v>32</v>
      </c>
      <c r="B36" s="12" t="inlineStr">
        <is>
          <t>LESTE</t>
        </is>
      </c>
      <c r="C36" s="12" t="inlineStr">
        <is>
          <t>RA/PO</t>
        </is>
      </c>
      <c r="D36" s="12" t="inlineStr">
        <is>
          <t>15:00-23:30</t>
        </is>
      </c>
    </row>
    <row r="37">
      <c r="A37" s="12" t="n">
        <v>33</v>
      </c>
      <c r="B37" s="12" t="inlineStr">
        <is>
          <t>LESTE</t>
        </is>
      </c>
      <c r="C37" s="12" t="inlineStr">
        <is>
          <t>TO/PR</t>
        </is>
      </c>
      <c r="D37" s="12" t="inlineStr">
        <is>
          <t>15:00-23:30</t>
        </is>
      </c>
    </row>
    <row r="38">
      <c r="A38" s="12" t="n">
        <v>34</v>
      </c>
      <c r="B38" s="12" t="inlineStr">
        <is>
          <t>LESTE</t>
        </is>
      </c>
      <c r="C38" s="12" t="inlineStr">
        <is>
          <t>IP/AG</t>
        </is>
      </c>
      <c r="D38" s="12" t="inlineStr">
        <is>
          <t>15:00-23:30</t>
        </is>
      </c>
    </row>
    <row r="39">
      <c r="A39" s="12" t="n">
        <v>35</v>
      </c>
      <c r="B39" s="12" t="inlineStr">
        <is>
          <t>OESTE</t>
        </is>
      </c>
      <c r="C39" s="12" t="inlineStr">
        <is>
          <t>DV/IJ</t>
        </is>
      </c>
      <c r="D39" s="12" t="inlineStr">
        <is>
          <t>15:00-23:30</t>
        </is>
      </c>
    </row>
    <row r="40">
      <c r="A40" s="12" t="n">
        <v>36</v>
      </c>
      <c r="B40" s="12" t="inlineStr">
        <is>
          <t>OESTE</t>
        </is>
      </c>
      <c r="C40" s="12" t="inlineStr">
        <is>
          <t>FM/CL</t>
        </is>
      </c>
      <c r="D40" s="12" t="inlineStr">
        <is>
          <t>15:00-23:30</t>
        </is>
      </c>
    </row>
    <row r="41">
      <c r="A41" s="12" t="n">
        <v>37</v>
      </c>
      <c r="B41" s="12" t="inlineStr">
        <is>
          <t>OESTE</t>
        </is>
      </c>
      <c r="C41" s="12" t="inlineStr">
        <is>
          <t>IA/CR</t>
        </is>
      </c>
      <c r="D41" s="12" t="inlineStr">
        <is>
          <t>15:00-23:30</t>
        </is>
      </c>
    </row>
    <row r="42">
      <c r="A42" s="12" t="n">
        <v>38</v>
      </c>
      <c r="B42" s="12" t="inlineStr">
        <is>
          <t>NORTE</t>
        </is>
      </c>
      <c r="C42" s="12" t="inlineStr">
        <is>
          <t>MO/SI</t>
        </is>
      </c>
      <c r="D42" s="12" t="inlineStr">
        <is>
          <t>15:00-23:30</t>
        </is>
      </c>
    </row>
    <row r="43">
      <c r="A43" s="12" t="n">
        <v>39</v>
      </c>
      <c r="B43" s="12" t="inlineStr">
        <is>
          <t>NORTE</t>
        </is>
      </c>
      <c r="C43" s="12" t="inlineStr">
        <is>
          <t>PT/AL</t>
        </is>
      </c>
      <c r="D43" s="12" t="inlineStr">
        <is>
          <t>15:00-23:30</t>
        </is>
      </c>
    </row>
    <row r="44">
      <c r="A44" s="12" t="n">
        <v>40</v>
      </c>
      <c r="B44" s="12" t="inlineStr">
        <is>
          <t>NORTE</t>
        </is>
      </c>
      <c r="C44" s="12" t="inlineStr">
        <is>
          <t>JN/BC</t>
        </is>
      </c>
      <c r="D44" s="12" t="inlineStr">
        <is>
          <t>15:00-23:30</t>
        </is>
      </c>
    </row>
    <row r="45">
      <c r="A45" s="12" t="n">
        <v>41</v>
      </c>
      <c r="B45" s="12" t="inlineStr">
        <is>
          <t>NORTE</t>
        </is>
      </c>
      <c r="C45" s="12" t="inlineStr">
        <is>
          <t>JB/PI</t>
        </is>
      </c>
      <c r="D45" s="12" t="inlineStr">
        <is>
          <t>15:00-23:30</t>
        </is>
      </c>
    </row>
    <row r="46">
      <c r="A46" s="12" t="n">
        <v>42</v>
      </c>
      <c r="B46" s="12" t="inlineStr">
        <is>
          <t>MANTIQUEIRA</t>
        </is>
      </c>
      <c r="C46" s="12" t="inlineStr">
        <is>
          <t>JF/OP</t>
        </is>
      </c>
      <c r="D46" s="12" t="inlineStr">
        <is>
          <t>15:00-23:30</t>
        </is>
      </c>
    </row>
    <row r="47">
      <c r="A47" s="12" t="n">
        <v>43</v>
      </c>
      <c r="B47" s="12" t="inlineStr">
        <is>
          <t>MANTIQUEIRA</t>
        </is>
      </c>
      <c r="C47" s="12" t="inlineStr">
        <is>
          <t>PN/LV</t>
        </is>
      </c>
      <c r="D47" s="12" t="inlineStr">
        <is>
          <t>15:00-23:30</t>
        </is>
      </c>
    </row>
    <row r="48">
      <c r="A48" s="12" t="n">
        <v>44</v>
      </c>
      <c r="B48" s="12" t="inlineStr">
        <is>
          <t>MANTIQUEIRA</t>
        </is>
      </c>
      <c r="C48" s="12" t="inlineStr">
        <is>
          <t>LF/BD</t>
        </is>
      </c>
      <c r="D48" s="12" t="inlineStr">
        <is>
          <t>15:00-23:30</t>
        </is>
      </c>
    </row>
    <row r="49">
      <c r="A49" s="12" t="n">
        <v>45</v>
      </c>
      <c r="B49" s="12" t="inlineStr">
        <is>
          <t>TRIANGULO</t>
        </is>
      </c>
      <c r="C49" s="12" t="inlineStr">
        <is>
          <t>UL/IR</t>
        </is>
      </c>
      <c r="D49" s="12" t="inlineStr">
        <is>
          <t>15:00-23:30</t>
        </is>
      </c>
    </row>
    <row r="50">
      <c r="A50" s="12" t="n">
        <v>46</v>
      </c>
      <c r="B50" s="12" t="inlineStr">
        <is>
          <t>TRIANGULO</t>
        </is>
      </c>
      <c r="C50" s="12" t="inlineStr">
        <is>
          <t>PM/PS</t>
        </is>
      </c>
      <c r="D50" s="12" t="inlineStr">
        <is>
          <t>15:00-23:30</t>
        </is>
      </c>
    </row>
    <row r="51">
      <c r="A51" s="12" t="n">
        <v>47</v>
      </c>
      <c r="B51" s="12" t="inlineStr">
        <is>
          <t>TRIANGULO</t>
        </is>
      </c>
      <c r="C51" s="12" t="inlineStr">
        <is>
          <t>TB/AF</t>
        </is>
      </c>
      <c r="D51" s="12" t="inlineStr">
        <is>
          <t>15:00-23:30</t>
        </is>
      </c>
    </row>
    <row r="52">
      <c r="A52" s="12" t="n">
        <v>48</v>
      </c>
      <c r="B52" s="12" t="inlineStr">
        <is>
          <t>TRIANGULO</t>
        </is>
      </c>
      <c r="C52" s="12" t="inlineStr">
        <is>
          <t>UR/JM</t>
        </is>
      </c>
      <c r="D52" s="12" t="inlineStr">
        <is>
          <t>15:00-23:30</t>
        </is>
      </c>
    </row>
    <row r="53">
      <c r="A53" s="12" t="n">
        <v>49</v>
      </c>
      <c r="B53" s="12" t="inlineStr">
        <is>
          <t>SUL</t>
        </is>
      </c>
      <c r="C53" s="12" t="inlineStr">
        <is>
          <t>PA/SJ</t>
        </is>
      </c>
      <c r="D53" s="12" t="inlineStr">
        <is>
          <t>15:00-23:30</t>
        </is>
      </c>
    </row>
    <row r="54">
      <c r="A54" s="12" t="n">
        <v>50</v>
      </c>
      <c r="B54" s="12" t="inlineStr">
        <is>
          <t>SUL</t>
        </is>
      </c>
      <c r="C54" s="12" t="inlineStr">
        <is>
          <t>TC/FR</t>
        </is>
      </c>
      <c r="D54" s="12" t="inlineStr">
        <is>
          <t>15:00-23:30</t>
        </is>
      </c>
    </row>
    <row r="55">
      <c r="A55" s="12" t="n">
        <v>51</v>
      </c>
      <c r="B55" s="12" t="inlineStr">
        <is>
          <t>SUL</t>
        </is>
      </c>
      <c r="C55" s="12" t="inlineStr">
        <is>
          <t>VR/AX</t>
        </is>
      </c>
      <c r="D55" s="12" t="inlineStr">
        <is>
          <t>15:00-23:30</t>
        </is>
      </c>
    </row>
    <row r="56">
      <c r="A56" s="12" t="n">
        <v>52</v>
      </c>
      <c r="B56" s="12" t="inlineStr">
        <is>
          <t>CENTRO</t>
        </is>
      </c>
      <c r="C56" s="12" t="inlineStr">
        <is>
          <t>CN/MG</t>
        </is>
      </c>
      <c r="D56" s="12" t="inlineStr">
        <is>
          <t>15:00-23:30</t>
        </is>
      </c>
    </row>
    <row r="57">
      <c r="A57" s="13" t="n">
        <v>53</v>
      </c>
      <c r="B57" s="13" t="inlineStr">
        <is>
          <t>NOITE</t>
        </is>
      </c>
      <c r="C57" s="13" t="inlineStr">
        <is>
          <t>N1 (CENTRO+LESTE)</t>
        </is>
      </c>
      <c r="D57" s="13" t="inlineStr">
        <is>
          <t>23:00-07:30</t>
        </is>
      </c>
    </row>
    <row r="58">
      <c r="A58" s="13" t="n">
        <v>54</v>
      </c>
      <c r="B58" s="13" t="inlineStr">
        <is>
          <t>NOITE</t>
        </is>
      </c>
      <c r="C58" s="13" t="inlineStr">
        <is>
          <t>N2 (OESTE)</t>
        </is>
      </c>
      <c r="D58" s="13" t="inlineStr">
        <is>
          <t>23:00-07:30</t>
        </is>
      </c>
    </row>
    <row r="59">
      <c r="A59" s="13" t="n">
        <v>55</v>
      </c>
      <c r="B59" s="13" t="inlineStr">
        <is>
          <t>NOITE</t>
        </is>
      </c>
      <c r="C59" s="13" t="inlineStr">
        <is>
          <t>N3 (NORTE)</t>
        </is>
      </c>
      <c r="D59" s="13" t="inlineStr">
        <is>
          <t>23:00-07:30</t>
        </is>
      </c>
    </row>
    <row r="60">
      <c r="A60" s="13" t="n">
        <v>56</v>
      </c>
      <c r="B60" s="13" t="inlineStr">
        <is>
          <t>NOITE</t>
        </is>
      </c>
      <c r="C60" s="13" t="inlineStr">
        <is>
          <t>N4 (MANTIQ+TRIANG)</t>
        </is>
      </c>
      <c r="D60" s="13" t="inlineStr">
        <is>
          <t>23:00-07:30</t>
        </is>
      </c>
    </row>
    <row r="61">
      <c r="A61" s="13" t="n">
        <v>57</v>
      </c>
      <c r="B61" s="13" t="inlineStr">
        <is>
          <t>NOITE</t>
        </is>
      </c>
      <c r="C61" s="13" t="inlineStr">
        <is>
          <t>N5 (SUL)</t>
        </is>
      </c>
      <c r="D61" s="13" t="inlineStr">
        <is>
          <t>23:00-07:30</t>
        </is>
      </c>
    </row>
    <row r="62">
      <c r="A62" s="14" t="n">
        <v>58</v>
      </c>
      <c r="B62" s="14" t="inlineStr">
        <is>
          <t>APOIO</t>
        </is>
      </c>
      <c r="C62" s="14" t="inlineStr">
        <is>
          <t>APOIO-1</t>
        </is>
      </c>
      <c r="D62" s="14" t="inlineStr">
        <is>
          <t>Apoio seg-sex</t>
        </is>
      </c>
    </row>
    <row r="63">
      <c r="A63" s="14" t="n">
        <v>59</v>
      </c>
      <c r="B63" s="14" t="inlineStr">
        <is>
          <t>APOIO</t>
        </is>
      </c>
      <c r="C63" s="14" t="inlineStr">
        <is>
          <t>APOIO-2</t>
        </is>
      </c>
      <c r="D63" s="14" t="inlineStr">
        <is>
          <t>Apoio seg-sex</t>
        </is>
      </c>
    </row>
  </sheetData>
  <mergeCells count="1">
    <mergeCell ref="B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F102"/>
  <sheetViews>
    <sheetView showGridLines="0" workbookViewId="0">
      <selection activeCell="A1" sqref="A1"/>
    </sheetView>
  </sheetViews>
  <sheetFormatPr baseColWidth="8" defaultRowHeight="15"/>
  <cols>
    <col width="4" customWidth="1" min="1" max="1"/>
    <col width="26" customWidth="1" min="2" max="2"/>
    <col width="16" customWidth="1" min="3" max="3"/>
    <col width="18" customWidth="1" min="4" max="4"/>
    <col width="16" customWidth="1" min="5" max="5"/>
    <col width="16" customWidth="1" min="6" max="6"/>
  </cols>
  <sheetData>
    <row r="2">
      <c r="B2" s="1" t="inlineStr">
        <is>
          <t>CADASTRO DE FUNCIONARIOS</t>
        </is>
      </c>
    </row>
    <row r="4">
      <c r="A4" s="3" t="inlineStr">
        <is>
          <t>ID</t>
        </is>
      </c>
      <c r="B4" s="3" t="inlineStr">
        <is>
          <t>Nome</t>
        </is>
      </c>
      <c r="C4" s="3" t="inlineStr">
        <is>
          <t>Tipo</t>
        </is>
      </c>
      <c r="D4" s="3" t="inlineStr">
        <is>
          <t>Turno base</t>
        </is>
      </c>
      <c r="E4" s="3" t="inlineStr">
        <is>
          <t>Posto titular</t>
        </is>
      </c>
      <c r="F4" s="3" t="inlineStr">
        <is>
          <t>Inicio ferias</t>
        </is>
      </c>
    </row>
    <row r="5">
      <c r="A5" s="10" t="n">
        <v>1</v>
      </c>
      <c r="B5" s="4" t="inlineStr">
        <is>
          <t>Felipe Generoso</t>
        </is>
      </c>
      <c r="C5" s="10" t="inlineStr">
        <is>
          <t>Titular</t>
        </is>
      </c>
      <c r="D5" s="10" t="inlineStr"/>
      <c r="E5" s="10" t="inlineStr"/>
      <c r="F5" s="10" t="inlineStr"/>
    </row>
    <row r="6">
      <c r="A6" s="10" t="n">
        <v>2</v>
      </c>
      <c r="B6" s="4" t="inlineStr">
        <is>
          <t>Cristiano Alisson</t>
        </is>
      </c>
      <c r="C6" s="10" t="inlineStr">
        <is>
          <t>Titular</t>
        </is>
      </c>
      <c r="D6" s="10" t="inlineStr"/>
      <c r="E6" s="10" t="inlineStr"/>
      <c r="F6" s="10" t="inlineStr"/>
    </row>
    <row r="7">
      <c r="A7" s="10" t="n">
        <v>3</v>
      </c>
      <c r="B7" s="4" t="inlineStr">
        <is>
          <t>Marcelo Thiersch</t>
        </is>
      </c>
      <c r="C7" s="10" t="inlineStr">
        <is>
          <t>Titular</t>
        </is>
      </c>
      <c r="D7" s="10" t="inlineStr"/>
      <c r="E7" s="10" t="inlineStr"/>
      <c r="F7" s="10" t="inlineStr"/>
    </row>
    <row r="8">
      <c r="A8" s="10" t="n">
        <v>4</v>
      </c>
      <c r="B8" s="4" t="inlineStr">
        <is>
          <t>Elenise Ceres</t>
        </is>
      </c>
      <c r="C8" s="10" t="inlineStr">
        <is>
          <t>Titular</t>
        </is>
      </c>
      <c r="D8" s="10" t="inlineStr"/>
      <c r="E8" s="10" t="inlineStr"/>
      <c r="F8" s="10" t="inlineStr"/>
    </row>
    <row r="9">
      <c r="A9" s="10" t="n">
        <v>5</v>
      </c>
      <c r="B9" s="4" t="inlineStr">
        <is>
          <t>Rodrigo Mesquita</t>
        </is>
      </c>
      <c r="C9" s="10" t="inlineStr">
        <is>
          <t>Titular</t>
        </is>
      </c>
      <c r="D9" s="10" t="inlineStr"/>
      <c r="E9" s="10" t="inlineStr"/>
      <c r="F9" s="10" t="inlineStr"/>
    </row>
    <row r="10">
      <c r="A10" s="10" t="n">
        <v>6</v>
      </c>
      <c r="B10" s="4" t="inlineStr">
        <is>
          <t>Leandro Bruno</t>
        </is>
      </c>
      <c r="C10" s="10" t="inlineStr">
        <is>
          <t>Titular</t>
        </is>
      </c>
      <c r="D10" s="10" t="inlineStr"/>
      <c r="E10" s="10" t="inlineStr"/>
      <c r="F10" s="10" t="inlineStr"/>
    </row>
    <row r="11">
      <c r="A11" s="10" t="n">
        <v>7</v>
      </c>
      <c r="B11" s="4" t="inlineStr">
        <is>
          <t>Samuel Mazoni</t>
        </is>
      </c>
      <c r="C11" s="10" t="inlineStr">
        <is>
          <t>Titular</t>
        </is>
      </c>
      <c r="D11" s="10" t="inlineStr"/>
      <c r="E11" s="10" t="inlineStr"/>
      <c r="F11" s="10" t="inlineStr"/>
    </row>
    <row r="12">
      <c r="A12" s="10" t="n">
        <v>8</v>
      </c>
      <c r="B12" s="4" t="inlineStr">
        <is>
          <t>Vinicius Lima</t>
        </is>
      </c>
      <c r="C12" s="10" t="inlineStr">
        <is>
          <t>Titular</t>
        </is>
      </c>
      <c r="D12" s="10" t="inlineStr"/>
      <c r="E12" s="10" t="inlineStr"/>
      <c r="F12" s="10" t="inlineStr"/>
    </row>
    <row r="13">
      <c r="A13" s="10" t="n">
        <v>9</v>
      </c>
      <c r="B13" s="4" t="inlineStr">
        <is>
          <t>Victor Ricarte</t>
        </is>
      </c>
      <c r="C13" s="10" t="inlineStr">
        <is>
          <t>Titular</t>
        </is>
      </c>
      <c r="D13" s="10" t="inlineStr"/>
      <c r="E13" s="10" t="inlineStr"/>
      <c r="F13" s="10" t="inlineStr"/>
    </row>
    <row r="14">
      <c r="A14" s="10" t="n">
        <v>10</v>
      </c>
      <c r="B14" s="4" t="inlineStr">
        <is>
          <t>Hugo Tavares</t>
        </is>
      </c>
      <c r="C14" s="10" t="inlineStr">
        <is>
          <t>Titular</t>
        </is>
      </c>
      <c r="D14" s="10" t="inlineStr"/>
      <c r="E14" s="10" t="inlineStr"/>
      <c r="F14" s="10" t="inlineStr"/>
    </row>
    <row r="15">
      <c r="A15" s="10" t="n">
        <v>11</v>
      </c>
      <c r="B15" s="4" t="inlineStr">
        <is>
          <t>Joao Paulo</t>
        </is>
      </c>
      <c r="C15" s="10" t="inlineStr">
        <is>
          <t>Titular</t>
        </is>
      </c>
      <c r="D15" s="10" t="inlineStr"/>
      <c r="E15" s="10" t="inlineStr"/>
      <c r="F15" s="10" t="inlineStr"/>
    </row>
    <row r="16">
      <c r="A16" s="10" t="n">
        <v>12</v>
      </c>
      <c r="B16" s="4" t="inlineStr">
        <is>
          <t>Linneker Amaral</t>
        </is>
      </c>
      <c r="C16" s="10" t="inlineStr">
        <is>
          <t>Titular</t>
        </is>
      </c>
      <c r="D16" s="10" t="inlineStr"/>
      <c r="E16" s="10" t="inlineStr"/>
      <c r="F16" s="10" t="inlineStr"/>
    </row>
    <row r="17">
      <c r="A17" s="10" t="n">
        <v>13</v>
      </c>
      <c r="B17" s="4" t="inlineStr">
        <is>
          <t>Wesley Ramos</t>
        </is>
      </c>
      <c r="C17" s="10" t="inlineStr">
        <is>
          <t>Titular</t>
        </is>
      </c>
      <c r="D17" s="10" t="inlineStr"/>
      <c r="E17" s="10" t="inlineStr"/>
      <c r="F17" s="10" t="inlineStr"/>
    </row>
    <row r="18">
      <c r="A18" s="10" t="n">
        <v>14</v>
      </c>
      <c r="B18" s="4" t="inlineStr">
        <is>
          <t>Normando Guimaraes</t>
        </is>
      </c>
      <c r="C18" s="10" t="inlineStr">
        <is>
          <t>Titular</t>
        </is>
      </c>
      <c r="D18" s="10" t="inlineStr"/>
      <c r="E18" s="10" t="inlineStr"/>
      <c r="F18" s="10" t="inlineStr"/>
    </row>
    <row r="19">
      <c r="A19" s="10" t="n">
        <v>15</v>
      </c>
      <c r="B19" s="4" t="inlineStr">
        <is>
          <t>Ronaldo Soares</t>
        </is>
      </c>
      <c r="C19" s="10" t="inlineStr">
        <is>
          <t>Titular</t>
        </is>
      </c>
      <c r="D19" s="10" t="inlineStr"/>
      <c r="E19" s="10" t="inlineStr"/>
      <c r="F19" s="10" t="inlineStr"/>
    </row>
    <row r="20">
      <c r="A20" s="10" t="n">
        <v>16</v>
      </c>
      <c r="B20" s="4" t="inlineStr">
        <is>
          <t>Andre dos Anjos</t>
        </is>
      </c>
      <c r="C20" s="10" t="inlineStr">
        <is>
          <t>Titular</t>
        </is>
      </c>
      <c r="D20" s="10" t="inlineStr"/>
      <c r="E20" s="10" t="inlineStr"/>
      <c r="F20" s="10" t="inlineStr"/>
    </row>
    <row r="21">
      <c r="A21" s="10" t="n">
        <v>17</v>
      </c>
      <c r="B21" s="4" t="inlineStr">
        <is>
          <t>Samuel Henrique</t>
        </is>
      </c>
      <c r="C21" s="10" t="inlineStr">
        <is>
          <t>Titular</t>
        </is>
      </c>
      <c r="D21" s="10" t="inlineStr"/>
      <c r="E21" s="10" t="inlineStr"/>
      <c r="F21" s="10" t="inlineStr"/>
    </row>
    <row r="22">
      <c r="A22" s="10" t="n">
        <v>18</v>
      </c>
      <c r="B22" s="4" t="inlineStr">
        <is>
          <t>Welinton Barbosa</t>
        </is>
      </c>
      <c r="C22" s="10" t="inlineStr">
        <is>
          <t>Titular</t>
        </is>
      </c>
      <c r="D22" s="10" t="inlineStr"/>
      <c r="E22" s="10" t="inlineStr"/>
      <c r="F22" s="10" t="inlineStr"/>
    </row>
    <row r="23">
      <c r="A23" s="10" t="n">
        <v>19</v>
      </c>
      <c r="B23" s="4" t="inlineStr">
        <is>
          <t>Marllon Bastos</t>
        </is>
      </c>
      <c r="C23" s="10" t="inlineStr">
        <is>
          <t>Titular</t>
        </is>
      </c>
      <c r="D23" s="10" t="inlineStr"/>
      <c r="E23" s="10" t="inlineStr"/>
      <c r="F23" s="10" t="inlineStr"/>
    </row>
    <row r="24">
      <c r="A24" s="10" t="n">
        <v>20</v>
      </c>
      <c r="B24" s="4" t="inlineStr">
        <is>
          <t>Gilmar Jose</t>
        </is>
      </c>
      <c r="C24" s="10" t="inlineStr">
        <is>
          <t>Titular</t>
        </is>
      </c>
      <c r="D24" s="10" t="inlineStr"/>
      <c r="E24" s="10" t="inlineStr"/>
      <c r="F24" s="10" t="inlineStr"/>
    </row>
    <row r="25">
      <c r="A25" s="10" t="n">
        <v>21</v>
      </c>
      <c r="B25" s="4" t="inlineStr">
        <is>
          <t>Leonardo Henrique</t>
        </is>
      </c>
      <c r="C25" s="10" t="inlineStr">
        <is>
          <t>Titular</t>
        </is>
      </c>
      <c r="D25" s="10" t="inlineStr"/>
      <c r="E25" s="10" t="inlineStr"/>
      <c r="F25" s="10" t="inlineStr"/>
    </row>
    <row r="26">
      <c r="A26" s="10" t="n">
        <v>22</v>
      </c>
      <c r="B26" s="4" t="inlineStr">
        <is>
          <t>Nicolas Augusto</t>
        </is>
      </c>
      <c r="C26" s="10" t="inlineStr">
        <is>
          <t>Titular</t>
        </is>
      </c>
      <c r="D26" s="10" t="inlineStr"/>
      <c r="E26" s="10" t="inlineStr"/>
      <c r="F26" s="10" t="inlineStr"/>
    </row>
    <row r="27">
      <c r="A27" s="10" t="n">
        <v>23</v>
      </c>
      <c r="B27" s="4" t="inlineStr">
        <is>
          <t>Antonio Carlos</t>
        </is>
      </c>
      <c r="C27" s="10" t="inlineStr">
        <is>
          <t>Titular</t>
        </is>
      </c>
      <c r="D27" s="10" t="inlineStr"/>
      <c r="E27" s="10" t="inlineStr"/>
      <c r="F27" s="10" t="inlineStr"/>
    </row>
    <row r="28">
      <c r="A28" s="10" t="n">
        <v>24</v>
      </c>
      <c r="B28" s="4" t="inlineStr">
        <is>
          <t>Rafel Teles</t>
        </is>
      </c>
      <c r="C28" s="10" t="inlineStr">
        <is>
          <t>Titular</t>
        </is>
      </c>
      <c r="D28" s="10" t="inlineStr"/>
      <c r="E28" s="10" t="inlineStr"/>
      <c r="F28" s="10" t="inlineStr"/>
    </row>
    <row r="29">
      <c r="A29" s="10" t="n">
        <v>25</v>
      </c>
      <c r="B29" s="4" t="inlineStr">
        <is>
          <t>Erick Garcia</t>
        </is>
      </c>
      <c r="C29" s="10" t="inlineStr">
        <is>
          <t>Titular</t>
        </is>
      </c>
      <c r="D29" s="10" t="inlineStr"/>
      <c r="E29" s="10" t="inlineStr"/>
      <c r="F29" s="10" t="inlineStr"/>
    </row>
    <row r="30">
      <c r="A30" s="10" t="n">
        <v>26</v>
      </c>
      <c r="B30" s="4" t="inlineStr">
        <is>
          <t>Funcionario 026</t>
        </is>
      </c>
      <c r="C30" s="10" t="inlineStr">
        <is>
          <t>Titular</t>
        </is>
      </c>
      <c r="D30" s="10" t="inlineStr"/>
      <c r="E30" s="10" t="inlineStr"/>
      <c r="F30" s="10" t="inlineStr"/>
    </row>
    <row r="31">
      <c r="A31" s="10" t="n">
        <v>27</v>
      </c>
      <c r="B31" s="4" t="inlineStr">
        <is>
          <t>Funcionario 027</t>
        </is>
      </c>
      <c r="C31" s="10" t="inlineStr">
        <is>
          <t>Titular</t>
        </is>
      </c>
      <c r="D31" s="10" t="inlineStr"/>
      <c r="E31" s="10" t="inlineStr"/>
      <c r="F31" s="10" t="inlineStr"/>
    </row>
    <row r="32">
      <c r="A32" s="10" t="n">
        <v>28</v>
      </c>
      <c r="B32" s="4" t="inlineStr">
        <is>
          <t>Funcionario 028</t>
        </is>
      </c>
      <c r="C32" s="10" t="inlineStr">
        <is>
          <t>Titular</t>
        </is>
      </c>
      <c r="D32" s="10" t="inlineStr"/>
      <c r="E32" s="10" t="inlineStr"/>
      <c r="F32" s="10" t="inlineStr"/>
    </row>
    <row r="33">
      <c r="A33" s="10" t="n">
        <v>29</v>
      </c>
      <c r="B33" s="4" t="inlineStr">
        <is>
          <t>Funcionario 029</t>
        </is>
      </c>
      <c r="C33" s="10" t="inlineStr">
        <is>
          <t>Titular</t>
        </is>
      </c>
      <c r="D33" s="10" t="inlineStr"/>
      <c r="E33" s="10" t="inlineStr"/>
      <c r="F33" s="10" t="inlineStr"/>
    </row>
    <row r="34">
      <c r="A34" s="10" t="n">
        <v>30</v>
      </c>
      <c r="B34" s="4" t="inlineStr">
        <is>
          <t>Funcionario 030</t>
        </is>
      </c>
      <c r="C34" s="10" t="inlineStr">
        <is>
          <t>Titular</t>
        </is>
      </c>
      <c r="D34" s="10" t="inlineStr"/>
      <c r="E34" s="10" t="inlineStr"/>
      <c r="F34" s="10" t="inlineStr"/>
    </row>
    <row r="35">
      <c r="A35" s="10" t="n">
        <v>31</v>
      </c>
      <c r="B35" s="4" t="inlineStr">
        <is>
          <t>Funcionario 031</t>
        </is>
      </c>
      <c r="C35" s="10" t="inlineStr">
        <is>
          <t>Titular</t>
        </is>
      </c>
      <c r="D35" s="10" t="inlineStr"/>
      <c r="E35" s="10" t="inlineStr"/>
      <c r="F35" s="10" t="inlineStr"/>
    </row>
    <row r="36">
      <c r="A36" s="10" t="n">
        <v>32</v>
      </c>
      <c r="B36" s="4" t="inlineStr">
        <is>
          <t>Funcionario 032</t>
        </is>
      </c>
      <c r="C36" s="10" t="inlineStr">
        <is>
          <t>Titular</t>
        </is>
      </c>
      <c r="D36" s="10" t="inlineStr"/>
      <c r="E36" s="10" t="inlineStr"/>
      <c r="F36" s="10" t="inlineStr"/>
    </row>
    <row r="37">
      <c r="A37" s="10" t="n">
        <v>33</v>
      </c>
      <c r="B37" s="4" t="inlineStr">
        <is>
          <t>Funcionario 033</t>
        </is>
      </c>
      <c r="C37" s="10" t="inlineStr">
        <is>
          <t>Titular</t>
        </is>
      </c>
      <c r="D37" s="10" t="inlineStr"/>
      <c r="E37" s="10" t="inlineStr"/>
      <c r="F37" s="10" t="inlineStr"/>
    </row>
    <row r="38">
      <c r="A38" s="10" t="n">
        <v>34</v>
      </c>
      <c r="B38" s="4" t="inlineStr">
        <is>
          <t>Funcionario 034</t>
        </is>
      </c>
      <c r="C38" s="10" t="inlineStr">
        <is>
          <t>Titular</t>
        </is>
      </c>
      <c r="D38" s="10" t="inlineStr"/>
      <c r="E38" s="10" t="inlineStr"/>
      <c r="F38" s="10" t="inlineStr"/>
    </row>
    <row r="39">
      <c r="A39" s="10" t="n">
        <v>35</v>
      </c>
      <c r="B39" s="4" t="inlineStr">
        <is>
          <t>Funcionario 035</t>
        </is>
      </c>
      <c r="C39" s="10" t="inlineStr">
        <is>
          <t>Titular</t>
        </is>
      </c>
      <c r="D39" s="10" t="inlineStr"/>
      <c r="E39" s="10" t="inlineStr"/>
      <c r="F39" s="10" t="inlineStr"/>
    </row>
    <row r="40">
      <c r="A40" s="10" t="n">
        <v>36</v>
      </c>
      <c r="B40" s="4" t="inlineStr">
        <is>
          <t>Funcionario 036</t>
        </is>
      </c>
      <c r="C40" s="10" t="inlineStr">
        <is>
          <t>Titular</t>
        </is>
      </c>
      <c r="D40" s="10" t="inlineStr"/>
      <c r="E40" s="10" t="inlineStr"/>
      <c r="F40" s="10" t="inlineStr"/>
    </row>
    <row r="41">
      <c r="A41" s="10" t="n">
        <v>37</v>
      </c>
      <c r="B41" s="4" t="inlineStr">
        <is>
          <t>Funcionario 037</t>
        </is>
      </c>
      <c r="C41" s="10" t="inlineStr">
        <is>
          <t>Titular</t>
        </is>
      </c>
      <c r="D41" s="10" t="inlineStr"/>
      <c r="E41" s="10" t="inlineStr"/>
      <c r="F41" s="10" t="inlineStr"/>
    </row>
    <row r="42">
      <c r="A42" s="10" t="n">
        <v>38</v>
      </c>
      <c r="B42" s="4" t="inlineStr">
        <is>
          <t>Funcionario 038</t>
        </is>
      </c>
      <c r="C42" s="10" t="inlineStr">
        <is>
          <t>Titular</t>
        </is>
      </c>
      <c r="D42" s="10" t="inlineStr"/>
      <c r="E42" s="10" t="inlineStr"/>
      <c r="F42" s="10" t="inlineStr"/>
    </row>
    <row r="43">
      <c r="A43" s="10" t="n">
        <v>39</v>
      </c>
      <c r="B43" s="4" t="inlineStr">
        <is>
          <t>Funcionario 039</t>
        </is>
      </c>
      <c r="C43" s="10" t="inlineStr">
        <is>
          <t>Titular</t>
        </is>
      </c>
      <c r="D43" s="10" t="inlineStr"/>
      <c r="E43" s="10" t="inlineStr"/>
      <c r="F43" s="10" t="inlineStr"/>
    </row>
    <row r="44">
      <c r="A44" s="10" t="n">
        <v>40</v>
      </c>
      <c r="B44" s="4" t="inlineStr">
        <is>
          <t>Funcionario 040</t>
        </is>
      </c>
      <c r="C44" s="10" t="inlineStr">
        <is>
          <t>Titular</t>
        </is>
      </c>
      <c r="D44" s="10" t="inlineStr"/>
      <c r="E44" s="10" t="inlineStr"/>
      <c r="F44" s="10" t="inlineStr"/>
    </row>
    <row r="45">
      <c r="A45" s="10" t="n">
        <v>41</v>
      </c>
      <c r="B45" s="4" t="inlineStr">
        <is>
          <t>Funcionario 041</t>
        </is>
      </c>
      <c r="C45" s="10" t="inlineStr">
        <is>
          <t>Titular</t>
        </is>
      </c>
      <c r="D45" s="10" t="inlineStr"/>
      <c r="E45" s="10" t="inlineStr"/>
      <c r="F45" s="10" t="inlineStr"/>
    </row>
    <row r="46">
      <c r="A46" s="10" t="n">
        <v>42</v>
      </c>
      <c r="B46" s="4" t="inlineStr">
        <is>
          <t>Funcionario 042</t>
        </is>
      </c>
      <c r="C46" s="10" t="inlineStr">
        <is>
          <t>Titular</t>
        </is>
      </c>
      <c r="D46" s="10" t="inlineStr"/>
      <c r="E46" s="10" t="inlineStr"/>
      <c r="F46" s="10" t="inlineStr"/>
    </row>
    <row r="47">
      <c r="A47" s="10" t="n">
        <v>43</v>
      </c>
      <c r="B47" s="4" t="inlineStr">
        <is>
          <t>Funcionario 043</t>
        </is>
      </c>
      <c r="C47" s="10" t="inlineStr">
        <is>
          <t>Titular</t>
        </is>
      </c>
      <c r="D47" s="10" t="inlineStr"/>
      <c r="E47" s="10" t="inlineStr"/>
      <c r="F47" s="10" t="inlineStr"/>
    </row>
    <row r="48">
      <c r="A48" s="10" t="n">
        <v>44</v>
      </c>
      <c r="B48" s="4" t="inlineStr">
        <is>
          <t>Funcionario 044</t>
        </is>
      </c>
      <c r="C48" s="10" t="inlineStr">
        <is>
          <t>Titular</t>
        </is>
      </c>
      <c r="D48" s="10" t="inlineStr"/>
      <c r="E48" s="10" t="inlineStr"/>
      <c r="F48" s="10" t="inlineStr"/>
    </row>
    <row r="49">
      <c r="A49" s="10" t="n">
        <v>45</v>
      </c>
      <c r="B49" s="4" t="inlineStr">
        <is>
          <t>Funcionario 045</t>
        </is>
      </c>
      <c r="C49" s="10" t="inlineStr">
        <is>
          <t>Titular</t>
        </is>
      </c>
      <c r="D49" s="10" t="inlineStr"/>
      <c r="E49" s="10" t="inlineStr"/>
      <c r="F49" s="10" t="inlineStr"/>
    </row>
    <row r="50">
      <c r="A50" s="10" t="n">
        <v>46</v>
      </c>
      <c r="B50" s="4" t="inlineStr">
        <is>
          <t>Funcionario 046</t>
        </is>
      </c>
      <c r="C50" s="10" t="inlineStr">
        <is>
          <t>Titular</t>
        </is>
      </c>
      <c r="D50" s="10" t="inlineStr"/>
      <c r="E50" s="10" t="inlineStr"/>
      <c r="F50" s="10" t="inlineStr"/>
    </row>
    <row r="51">
      <c r="A51" s="10" t="n">
        <v>47</v>
      </c>
      <c r="B51" s="4" t="inlineStr">
        <is>
          <t>Funcionario 047</t>
        </is>
      </c>
      <c r="C51" s="10" t="inlineStr">
        <is>
          <t>Titular</t>
        </is>
      </c>
      <c r="D51" s="10" t="inlineStr"/>
      <c r="E51" s="10" t="inlineStr"/>
      <c r="F51" s="10" t="inlineStr"/>
    </row>
    <row r="52">
      <c r="A52" s="10" t="n">
        <v>48</v>
      </c>
      <c r="B52" s="4" t="inlineStr">
        <is>
          <t>Funcionario 048</t>
        </is>
      </c>
      <c r="C52" s="10" t="inlineStr">
        <is>
          <t>Titular</t>
        </is>
      </c>
      <c r="D52" s="10" t="inlineStr"/>
      <c r="E52" s="10" t="inlineStr"/>
      <c r="F52" s="10" t="inlineStr"/>
    </row>
    <row r="53">
      <c r="A53" s="10" t="n">
        <v>49</v>
      </c>
      <c r="B53" s="4" t="inlineStr">
        <is>
          <t>Funcionario 049</t>
        </is>
      </c>
      <c r="C53" s="10" t="inlineStr">
        <is>
          <t>Titular</t>
        </is>
      </c>
      <c r="D53" s="10" t="inlineStr"/>
      <c r="E53" s="10" t="inlineStr"/>
      <c r="F53" s="10" t="inlineStr"/>
    </row>
    <row r="54">
      <c r="A54" s="10" t="n">
        <v>50</v>
      </c>
      <c r="B54" s="4" t="inlineStr">
        <is>
          <t>Funcionario 050</t>
        </is>
      </c>
      <c r="C54" s="10" t="inlineStr">
        <is>
          <t>Titular</t>
        </is>
      </c>
      <c r="D54" s="10" t="inlineStr"/>
      <c r="E54" s="10" t="inlineStr"/>
      <c r="F54" s="10" t="inlineStr"/>
    </row>
    <row r="55">
      <c r="A55" s="10" t="n">
        <v>51</v>
      </c>
      <c r="B55" s="4" t="inlineStr">
        <is>
          <t>Funcionario 051</t>
        </is>
      </c>
      <c r="C55" s="10" t="inlineStr">
        <is>
          <t>Titular</t>
        </is>
      </c>
      <c r="D55" s="10" t="inlineStr"/>
      <c r="E55" s="10" t="inlineStr"/>
      <c r="F55" s="10" t="inlineStr"/>
    </row>
    <row r="56">
      <c r="A56" s="10" t="n">
        <v>52</v>
      </c>
      <c r="B56" s="4" t="inlineStr">
        <is>
          <t>Funcionario 052</t>
        </is>
      </c>
      <c r="C56" s="10" t="inlineStr">
        <is>
          <t>Titular</t>
        </is>
      </c>
      <c r="D56" s="10" t="inlineStr"/>
      <c r="E56" s="10" t="inlineStr"/>
      <c r="F56" s="10" t="inlineStr"/>
    </row>
    <row r="57">
      <c r="A57" s="10" t="n">
        <v>53</v>
      </c>
      <c r="B57" s="4" t="inlineStr">
        <is>
          <t>Funcionario 053</t>
        </is>
      </c>
      <c r="C57" s="10" t="inlineStr">
        <is>
          <t>Titular</t>
        </is>
      </c>
      <c r="D57" s="10" t="inlineStr"/>
      <c r="E57" s="10" t="inlineStr"/>
      <c r="F57" s="10" t="inlineStr"/>
    </row>
    <row r="58">
      <c r="A58" s="10" t="n">
        <v>54</v>
      </c>
      <c r="B58" s="4" t="inlineStr">
        <is>
          <t>Funcionario 054</t>
        </is>
      </c>
      <c r="C58" s="10" t="inlineStr">
        <is>
          <t>Titular</t>
        </is>
      </c>
      <c r="D58" s="10" t="inlineStr"/>
      <c r="E58" s="10" t="inlineStr"/>
      <c r="F58" s="10" t="inlineStr"/>
    </row>
    <row r="59">
      <c r="A59" s="10" t="n">
        <v>55</v>
      </c>
      <c r="B59" s="4" t="inlineStr">
        <is>
          <t>Funcionario 055</t>
        </is>
      </c>
      <c r="C59" s="10" t="inlineStr">
        <is>
          <t>Titular</t>
        </is>
      </c>
      <c r="D59" s="10" t="inlineStr"/>
      <c r="E59" s="10" t="inlineStr"/>
      <c r="F59" s="10" t="inlineStr"/>
    </row>
    <row r="60">
      <c r="A60" s="10" t="n">
        <v>56</v>
      </c>
      <c r="B60" s="4" t="inlineStr">
        <is>
          <t>Funcionario 056</t>
        </is>
      </c>
      <c r="C60" s="10" t="inlineStr">
        <is>
          <t>Titular</t>
        </is>
      </c>
      <c r="D60" s="10" t="inlineStr"/>
      <c r="E60" s="10" t="inlineStr"/>
      <c r="F60" s="10" t="inlineStr"/>
    </row>
    <row r="61">
      <c r="A61" s="10" t="n">
        <v>57</v>
      </c>
      <c r="B61" s="4" t="inlineStr">
        <is>
          <t>Funcionario 057</t>
        </is>
      </c>
      <c r="C61" s="10" t="inlineStr">
        <is>
          <t>Titular</t>
        </is>
      </c>
      <c r="D61" s="10" t="inlineStr"/>
      <c r="E61" s="10" t="inlineStr"/>
      <c r="F61" s="10" t="inlineStr"/>
    </row>
    <row r="62">
      <c r="A62" s="10" t="n">
        <v>58</v>
      </c>
      <c r="B62" s="4" t="inlineStr">
        <is>
          <t>Funcionario 058</t>
        </is>
      </c>
      <c r="C62" s="10" t="inlineStr">
        <is>
          <t>Titular</t>
        </is>
      </c>
      <c r="D62" s="10" t="inlineStr"/>
      <c r="E62" s="10" t="inlineStr"/>
      <c r="F62" s="10" t="inlineStr"/>
    </row>
    <row r="63">
      <c r="A63" s="10" t="n">
        <v>59</v>
      </c>
      <c r="B63" s="4" t="inlineStr">
        <is>
          <t>Funcionario 059</t>
        </is>
      </c>
      <c r="C63" s="10" t="inlineStr">
        <is>
          <t>Titular</t>
        </is>
      </c>
      <c r="D63" s="10" t="inlineStr"/>
      <c r="E63" s="10" t="inlineStr"/>
      <c r="F63" s="10" t="inlineStr"/>
    </row>
    <row r="64">
      <c r="A64" s="12" t="n">
        <v>60</v>
      </c>
      <c r="B64" s="15" t="inlineStr">
        <is>
          <t>Funcionario 060</t>
        </is>
      </c>
      <c r="C64" s="12" t="inlineStr">
        <is>
          <t>Volante</t>
        </is>
      </c>
      <c r="D64" s="12" t="inlineStr"/>
      <c r="E64" s="12" t="inlineStr"/>
      <c r="F64" s="12" t="inlineStr"/>
    </row>
    <row r="65">
      <c r="A65" s="12" t="n">
        <v>61</v>
      </c>
      <c r="B65" s="15" t="inlineStr">
        <is>
          <t>Funcionario 061</t>
        </is>
      </c>
      <c r="C65" s="12" t="inlineStr">
        <is>
          <t>Volante</t>
        </is>
      </c>
      <c r="D65" s="12" t="inlineStr"/>
      <c r="E65" s="12" t="inlineStr"/>
      <c r="F65" s="12" t="inlineStr"/>
    </row>
    <row r="66">
      <c r="A66" s="12" t="n">
        <v>62</v>
      </c>
      <c r="B66" s="15" t="inlineStr">
        <is>
          <t>Funcionario 062</t>
        </is>
      </c>
      <c r="C66" s="12" t="inlineStr">
        <is>
          <t>Volante</t>
        </is>
      </c>
      <c r="D66" s="12" t="inlineStr"/>
      <c r="E66" s="12" t="inlineStr"/>
      <c r="F66" s="12" t="inlineStr"/>
    </row>
    <row r="67">
      <c r="A67" s="12" t="n">
        <v>63</v>
      </c>
      <c r="B67" s="15" t="inlineStr">
        <is>
          <t>Funcionario 063</t>
        </is>
      </c>
      <c r="C67" s="12" t="inlineStr">
        <is>
          <t>Volante</t>
        </is>
      </c>
      <c r="D67" s="12" t="inlineStr"/>
      <c r="E67" s="12" t="inlineStr"/>
      <c r="F67" s="12" t="inlineStr"/>
    </row>
    <row r="68">
      <c r="A68" s="12" t="n">
        <v>64</v>
      </c>
      <c r="B68" s="15" t="inlineStr">
        <is>
          <t>Funcionario 064</t>
        </is>
      </c>
      <c r="C68" s="12" t="inlineStr">
        <is>
          <t>Volante</t>
        </is>
      </c>
      <c r="D68" s="12" t="inlineStr"/>
      <c r="E68" s="12" t="inlineStr"/>
      <c r="F68" s="12" t="inlineStr"/>
    </row>
    <row r="69">
      <c r="A69" s="12" t="n">
        <v>65</v>
      </c>
      <c r="B69" s="15" t="inlineStr">
        <is>
          <t>Funcionario 065</t>
        </is>
      </c>
      <c r="C69" s="12" t="inlineStr">
        <is>
          <t>Volante</t>
        </is>
      </c>
      <c r="D69" s="12" t="inlineStr"/>
      <c r="E69" s="12" t="inlineStr"/>
      <c r="F69" s="12" t="inlineStr"/>
    </row>
    <row r="70">
      <c r="A70" s="12" t="n">
        <v>66</v>
      </c>
      <c r="B70" s="15" t="inlineStr">
        <is>
          <t>Funcionario 066</t>
        </is>
      </c>
      <c r="C70" s="12" t="inlineStr">
        <is>
          <t>Volante</t>
        </is>
      </c>
      <c r="D70" s="12" t="inlineStr"/>
      <c r="E70" s="12" t="inlineStr"/>
      <c r="F70" s="12" t="inlineStr"/>
    </row>
    <row r="71">
      <c r="A71" s="12" t="n">
        <v>67</v>
      </c>
      <c r="B71" s="15" t="inlineStr">
        <is>
          <t>Funcionario 067</t>
        </is>
      </c>
      <c r="C71" s="12" t="inlineStr">
        <is>
          <t>Volante</t>
        </is>
      </c>
      <c r="D71" s="12" t="inlineStr"/>
      <c r="E71" s="12" t="inlineStr"/>
      <c r="F71" s="12" t="inlineStr"/>
    </row>
    <row r="72">
      <c r="A72" s="12" t="n">
        <v>68</v>
      </c>
      <c r="B72" s="15" t="inlineStr">
        <is>
          <t>Funcionario 068</t>
        </is>
      </c>
      <c r="C72" s="12" t="inlineStr">
        <is>
          <t>Volante</t>
        </is>
      </c>
      <c r="D72" s="12" t="inlineStr"/>
      <c r="E72" s="12" t="inlineStr"/>
      <c r="F72" s="12" t="inlineStr"/>
    </row>
    <row r="73">
      <c r="A73" s="12" t="n">
        <v>69</v>
      </c>
      <c r="B73" s="15" t="inlineStr">
        <is>
          <t>Funcionario 069</t>
        </is>
      </c>
      <c r="C73" s="12" t="inlineStr">
        <is>
          <t>Volante</t>
        </is>
      </c>
      <c r="D73" s="12" t="inlineStr"/>
      <c r="E73" s="12" t="inlineStr"/>
      <c r="F73" s="12" t="inlineStr"/>
    </row>
    <row r="74">
      <c r="A74" s="12" t="n">
        <v>70</v>
      </c>
      <c r="B74" s="15" t="inlineStr">
        <is>
          <t>Funcionario 070</t>
        </is>
      </c>
      <c r="C74" s="12" t="inlineStr">
        <is>
          <t>Volante</t>
        </is>
      </c>
      <c r="D74" s="12" t="inlineStr"/>
      <c r="E74" s="12" t="inlineStr"/>
      <c r="F74" s="12" t="inlineStr"/>
    </row>
    <row r="75">
      <c r="A75" s="12" t="n">
        <v>71</v>
      </c>
      <c r="B75" s="15" t="inlineStr">
        <is>
          <t>Funcionario 071</t>
        </is>
      </c>
      <c r="C75" s="12" t="inlineStr">
        <is>
          <t>Volante</t>
        </is>
      </c>
      <c r="D75" s="12" t="inlineStr"/>
      <c r="E75" s="12" t="inlineStr"/>
      <c r="F75" s="12" t="inlineStr"/>
    </row>
    <row r="76">
      <c r="A76" s="12" t="n">
        <v>72</v>
      </c>
      <c r="B76" s="15" t="inlineStr">
        <is>
          <t>Funcionario 072</t>
        </is>
      </c>
      <c r="C76" s="12" t="inlineStr">
        <is>
          <t>Volante</t>
        </is>
      </c>
      <c r="D76" s="12" t="inlineStr"/>
      <c r="E76" s="12" t="inlineStr"/>
      <c r="F76" s="12" t="inlineStr"/>
    </row>
    <row r="77">
      <c r="A77" s="12" t="n">
        <v>73</v>
      </c>
      <c r="B77" s="15" t="inlineStr">
        <is>
          <t>Funcionario 073</t>
        </is>
      </c>
      <c r="C77" s="12" t="inlineStr">
        <is>
          <t>Volante</t>
        </is>
      </c>
      <c r="D77" s="12" t="inlineStr"/>
      <c r="E77" s="12" t="inlineStr"/>
      <c r="F77" s="12" t="inlineStr"/>
    </row>
    <row r="78">
      <c r="A78" s="12" t="n">
        <v>74</v>
      </c>
      <c r="B78" s="15" t="inlineStr">
        <is>
          <t>Funcionario 074</t>
        </is>
      </c>
      <c r="C78" s="12" t="inlineStr">
        <is>
          <t>Volante</t>
        </is>
      </c>
      <c r="D78" s="12" t="inlineStr"/>
      <c r="E78" s="12" t="inlineStr"/>
      <c r="F78" s="12" t="inlineStr"/>
    </row>
    <row r="79">
      <c r="A79" s="12" t="n">
        <v>75</v>
      </c>
      <c r="B79" s="15" t="inlineStr">
        <is>
          <t>Funcionario 075</t>
        </is>
      </c>
      <c r="C79" s="12" t="inlineStr">
        <is>
          <t>Volante</t>
        </is>
      </c>
      <c r="D79" s="12" t="inlineStr"/>
      <c r="E79" s="12" t="inlineStr"/>
      <c r="F79" s="12" t="inlineStr"/>
    </row>
    <row r="80">
      <c r="A80" s="12" t="n">
        <v>76</v>
      </c>
      <c r="B80" s="15" t="inlineStr">
        <is>
          <t>Funcionario 076</t>
        </is>
      </c>
      <c r="C80" s="12" t="inlineStr">
        <is>
          <t>Volante</t>
        </is>
      </c>
      <c r="D80" s="12" t="inlineStr"/>
      <c r="E80" s="12" t="inlineStr"/>
      <c r="F80" s="12" t="inlineStr"/>
    </row>
    <row r="81">
      <c r="A81" s="12" t="n">
        <v>77</v>
      </c>
      <c r="B81" s="15" t="inlineStr">
        <is>
          <t>Funcionario 077</t>
        </is>
      </c>
      <c r="C81" s="12" t="inlineStr">
        <is>
          <t>Volante</t>
        </is>
      </c>
      <c r="D81" s="12" t="inlineStr"/>
      <c r="E81" s="12" t="inlineStr"/>
      <c r="F81" s="12" t="inlineStr"/>
    </row>
    <row r="82">
      <c r="A82" s="12" t="n">
        <v>78</v>
      </c>
      <c r="B82" s="15" t="inlineStr">
        <is>
          <t>Funcionario 078</t>
        </is>
      </c>
      <c r="C82" s="12" t="inlineStr">
        <is>
          <t>Volante</t>
        </is>
      </c>
      <c r="D82" s="12" t="inlineStr"/>
      <c r="E82" s="12" t="inlineStr"/>
      <c r="F82" s="12" t="inlineStr"/>
    </row>
    <row r="83">
      <c r="A83" s="12" t="n">
        <v>79</v>
      </c>
      <c r="B83" s="15" t="inlineStr">
        <is>
          <t>Funcionario 079</t>
        </is>
      </c>
      <c r="C83" s="12" t="inlineStr">
        <is>
          <t>Volante</t>
        </is>
      </c>
      <c r="D83" s="12" t="inlineStr"/>
      <c r="E83" s="12" t="inlineStr"/>
      <c r="F83" s="12" t="inlineStr"/>
    </row>
    <row r="84">
      <c r="A84" s="12" t="n">
        <v>80</v>
      </c>
      <c r="B84" s="15" t="inlineStr">
        <is>
          <t>Funcionario 080</t>
        </is>
      </c>
      <c r="C84" s="12" t="inlineStr">
        <is>
          <t>Volante</t>
        </is>
      </c>
      <c r="D84" s="12" t="inlineStr"/>
      <c r="E84" s="12" t="inlineStr"/>
      <c r="F84" s="12" t="inlineStr"/>
    </row>
    <row r="85">
      <c r="A85" s="12" t="n">
        <v>81</v>
      </c>
      <c r="B85" s="15" t="inlineStr">
        <is>
          <t>Funcionario 081</t>
        </is>
      </c>
      <c r="C85" s="12" t="inlineStr">
        <is>
          <t>Volante</t>
        </is>
      </c>
      <c r="D85" s="12" t="inlineStr"/>
      <c r="E85" s="12" t="inlineStr"/>
      <c r="F85" s="12" t="inlineStr"/>
    </row>
    <row r="86">
      <c r="A86" s="12" t="n">
        <v>82</v>
      </c>
      <c r="B86" s="15" t="inlineStr">
        <is>
          <t>Funcionario 082</t>
        </is>
      </c>
      <c r="C86" s="12" t="inlineStr">
        <is>
          <t>Volante</t>
        </is>
      </c>
      <c r="D86" s="12" t="inlineStr"/>
      <c r="E86" s="12" t="inlineStr"/>
      <c r="F86" s="12" t="inlineStr"/>
    </row>
    <row r="87">
      <c r="A87" s="12" t="n">
        <v>83</v>
      </c>
      <c r="B87" s="15" t="inlineStr">
        <is>
          <t>Funcionario 083</t>
        </is>
      </c>
      <c r="C87" s="12" t="inlineStr">
        <is>
          <t>Volante</t>
        </is>
      </c>
      <c r="D87" s="12" t="inlineStr"/>
      <c r="E87" s="12" t="inlineStr"/>
      <c r="F87" s="12" t="inlineStr"/>
    </row>
    <row r="88">
      <c r="A88" s="12" t="n">
        <v>84</v>
      </c>
      <c r="B88" s="15" t="inlineStr">
        <is>
          <t>Funcionario 084</t>
        </is>
      </c>
      <c r="C88" s="12" t="inlineStr">
        <is>
          <t>Volante</t>
        </is>
      </c>
      <c r="D88" s="12" t="inlineStr"/>
      <c r="E88" s="12" t="inlineStr"/>
      <c r="F88" s="12" t="inlineStr"/>
    </row>
    <row r="89">
      <c r="A89" s="12" t="n">
        <v>85</v>
      </c>
      <c r="B89" s="15" t="inlineStr">
        <is>
          <t>Funcionario 085</t>
        </is>
      </c>
      <c r="C89" s="12" t="inlineStr">
        <is>
          <t>Volante</t>
        </is>
      </c>
      <c r="D89" s="12" t="inlineStr"/>
      <c r="E89" s="12" t="inlineStr"/>
      <c r="F89" s="12" t="inlineStr"/>
    </row>
    <row r="90">
      <c r="A90" s="12" t="n">
        <v>86</v>
      </c>
      <c r="B90" s="15" t="inlineStr">
        <is>
          <t>Funcionario 086</t>
        </is>
      </c>
      <c r="C90" s="12" t="inlineStr">
        <is>
          <t>Volante</t>
        </is>
      </c>
      <c r="D90" s="12" t="inlineStr"/>
      <c r="E90" s="12" t="inlineStr"/>
      <c r="F90" s="12" t="inlineStr"/>
    </row>
    <row r="91">
      <c r="A91" s="12" t="n">
        <v>87</v>
      </c>
      <c r="B91" s="15" t="inlineStr">
        <is>
          <t>Funcionario 087</t>
        </is>
      </c>
      <c r="C91" s="12" t="inlineStr">
        <is>
          <t>Volante</t>
        </is>
      </c>
      <c r="D91" s="12" t="inlineStr"/>
      <c r="E91" s="12" t="inlineStr"/>
      <c r="F91" s="12" t="inlineStr"/>
    </row>
    <row r="92">
      <c r="A92" s="12" t="n">
        <v>88</v>
      </c>
      <c r="B92" s="15" t="inlineStr">
        <is>
          <t>Funcionario 088</t>
        </is>
      </c>
      <c r="C92" s="12" t="inlineStr">
        <is>
          <t>Volante</t>
        </is>
      </c>
      <c r="D92" s="12" t="inlineStr"/>
      <c r="E92" s="12" t="inlineStr"/>
      <c r="F92" s="12" t="inlineStr"/>
    </row>
    <row r="93">
      <c r="A93" s="12" t="n">
        <v>89</v>
      </c>
      <c r="B93" s="15" t="inlineStr">
        <is>
          <t>Funcionario 089</t>
        </is>
      </c>
      <c r="C93" s="12" t="inlineStr">
        <is>
          <t>Volante</t>
        </is>
      </c>
      <c r="D93" s="12" t="inlineStr"/>
      <c r="E93" s="12" t="inlineStr"/>
      <c r="F93" s="12" t="inlineStr"/>
    </row>
    <row r="94">
      <c r="A94" s="12" t="n">
        <v>90</v>
      </c>
      <c r="B94" s="15" t="inlineStr">
        <is>
          <t>Funcionario 090</t>
        </is>
      </c>
      <c r="C94" s="12" t="inlineStr">
        <is>
          <t>Volante</t>
        </is>
      </c>
      <c r="D94" s="12" t="inlineStr"/>
      <c r="E94" s="12" t="inlineStr"/>
      <c r="F94" s="12" t="inlineStr"/>
    </row>
    <row r="95">
      <c r="A95" s="12" t="n">
        <v>91</v>
      </c>
      <c r="B95" s="15" t="inlineStr">
        <is>
          <t>Funcionario 091</t>
        </is>
      </c>
      <c r="C95" s="12" t="inlineStr">
        <is>
          <t>Volante</t>
        </is>
      </c>
      <c r="D95" s="12" t="inlineStr"/>
      <c r="E95" s="12" t="inlineStr"/>
      <c r="F95" s="12" t="inlineStr"/>
    </row>
    <row r="96">
      <c r="A96" s="12" t="n">
        <v>92</v>
      </c>
      <c r="B96" s="15" t="inlineStr">
        <is>
          <t>Funcionario 092</t>
        </is>
      </c>
      <c r="C96" s="12" t="inlineStr">
        <is>
          <t>Volante</t>
        </is>
      </c>
      <c r="D96" s="12" t="inlineStr"/>
      <c r="E96" s="12" t="inlineStr"/>
      <c r="F96" s="12" t="inlineStr"/>
    </row>
    <row r="97">
      <c r="A97" s="12" t="n">
        <v>93</v>
      </c>
      <c r="B97" s="15" t="inlineStr">
        <is>
          <t>Funcionario 093</t>
        </is>
      </c>
      <c r="C97" s="12" t="inlineStr">
        <is>
          <t>Volante</t>
        </is>
      </c>
      <c r="D97" s="12" t="inlineStr"/>
      <c r="E97" s="12" t="inlineStr"/>
      <c r="F97" s="12" t="inlineStr"/>
    </row>
    <row r="98">
      <c r="A98" s="12" t="n">
        <v>94</v>
      </c>
      <c r="B98" s="15" t="inlineStr">
        <is>
          <t>Funcionario 094</t>
        </is>
      </c>
      <c r="C98" s="12" t="inlineStr">
        <is>
          <t>Volante</t>
        </is>
      </c>
      <c r="D98" s="12" t="inlineStr"/>
      <c r="E98" s="12" t="inlineStr"/>
      <c r="F98" s="12" t="inlineStr"/>
    </row>
    <row r="99">
      <c r="A99" s="12" t="n">
        <v>95</v>
      </c>
      <c r="B99" s="15" t="inlineStr">
        <is>
          <t>Funcionario 095</t>
        </is>
      </c>
      <c r="C99" s="12" t="inlineStr">
        <is>
          <t>Volante</t>
        </is>
      </c>
      <c r="D99" s="12" t="inlineStr"/>
      <c r="E99" s="12" t="inlineStr"/>
      <c r="F99" s="12" t="inlineStr"/>
    </row>
    <row r="100">
      <c r="A100" s="12" t="n">
        <v>96</v>
      </c>
      <c r="B100" s="15" t="inlineStr">
        <is>
          <t>Funcionario 096</t>
        </is>
      </c>
      <c r="C100" s="12" t="inlineStr">
        <is>
          <t>Volante</t>
        </is>
      </c>
      <c r="D100" s="12" t="inlineStr"/>
      <c r="E100" s="12" t="inlineStr"/>
      <c r="F100" s="12" t="inlineStr"/>
    </row>
    <row r="101">
      <c r="A101" s="12" t="n">
        <v>97</v>
      </c>
      <c r="B101" s="15" t="inlineStr">
        <is>
          <t>Funcionario 097</t>
        </is>
      </c>
      <c r="C101" s="12" t="inlineStr">
        <is>
          <t>Volante</t>
        </is>
      </c>
      <c r="D101" s="12" t="inlineStr"/>
      <c r="E101" s="12" t="inlineStr"/>
      <c r="F101" s="12" t="inlineStr"/>
    </row>
    <row r="102">
      <c r="A102" s="12" t="n">
        <v>98</v>
      </c>
      <c r="B102" s="15" t="inlineStr">
        <is>
          <t>Funcionario 098</t>
        </is>
      </c>
      <c r="C102" s="12" t="inlineStr">
        <is>
          <t>Volante</t>
        </is>
      </c>
      <c r="D102" s="12" t="inlineStr"/>
      <c r="E102" s="12" t="inlineStr"/>
      <c r="F102" s="12" t="inlineStr"/>
    </row>
  </sheetData>
  <mergeCells count="1">
    <mergeCell ref="B2:F2"/>
  </mergeCells>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showDropDown="0" showInputMessage="0" showErrorMessage="0" allowBlank="1" type="list">
      <formula1>"Titular,Volante"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showGridLines="0" workbookViewId="0">
      <selection activeCell="A1" sqref="A1"/>
    </sheetView>
  </sheetViews>
  <sheetFormatPr baseColWidth="8" defaultRowHeight="15"/>
  <cols>
    <col width="4" customWidth="1" min="1" max="1"/>
    <col width="18" customWidth="1" min="2" max="2"/>
    <col width="16" customWidth="1" min="3" max="3"/>
    <col width="26" customWidth="1" min="4" max="4"/>
  </cols>
  <sheetData>
    <row r="1">
      <c r="A1" s="16" t="inlineStr">
        <is>
          <t>DIA 04/06/2026 - TURNO 07:00 as 15:30 h (G1)</t>
        </is>
      </c>
    </row>
    <row r="2">
      <c r="A2" s="17" t="inlineStr">
        <is>
          <t>MALHA</t>
        </is>
      </c>
      <c r="B2" s="17" t="inlineStr">
        <is>
          <t>POSTO</t>
        </is>
      </c>
      <c r="C2" s="17" t="inlineStr">
        <is>
          <t>TECNICO</t>
        </is>
      </c>
      <c r="D2" s="17" t="n"/>
    </row>
    <row r="3">
      <c r="A3" s="10" t="inlineStr">
        <is>
          <t>CENTRO</t>
        </is>
      </c>
      <c r="B3" s="10" t="inlineStr">
        <is>
          <t>BH/NL</t>
        </is>
      </c>
      <c r="C3" s="10" t="inlineStr"/>
      <c r="D3" s="10" t="n"/>
    </row>
    <row r="4">
      <c r="A4" s="18" t="n"/>
      <c r="B4" s="10" t="inlineStr">
        <is>
          <t>SG/AR</t>
        </is>
      </c>
      <c r="C4" s="10" t="inlineStr"/>
      <c r="D4" s="10" t="n"/>
    </row>
    <row r="5">
      <c r="A5" s="18" t="n"/>
      <c r="B5" s="10" t="inlineStr">
        <is>
          <t>BT</t>
        </is>
      </c>
      <c r="C5" s="10" t="inlineStr"/>
      <c r="D5" s="10" t="n"/>
    </row>
    <row r="6">
      <c r="A6" s="19" t="n"/>
      <c r="B6" s="10" t="inlineStr">
        <is>
          <t>SL</t>
        </is>
      </c>
      <c r="C6" s="10" t="inlineStr"/>
      <c r="D6" s="10" t="n"/>
    </row>
    <row r="7">
      <c r="A7" s="10" t="inlineStr">
        <is>
          <t>LESTE</t>
        </is>
      </c>
      <c r="B7" s="10" t="inlineStr">
        <is>
          <t>GV</t>
        </is>
      </c>
      <c r="C7" s="10" t="inlineStr"/>
      <c r="D7" s="10" t="n"/>
    </row>
    <row r="8">
      <c r="A8" s="18" t="n"/>
      <c r="B8" s="10" t="inlineStr">
        <is>
          <t>RA/PO</t>
        </is>
      </c>
      <c r="C8" s="10" t="inlineStr"/>
      <c r="D8" s="10" t="n"/>
    </row>
    <row r="9">
      <c r="A9" s="18" t="n"/>
      <c r="B9" s="10" t="inlineStr">
        <is>
          <t>TO/PR</t>
        </is>
      </c>
      <c r="C9" s="10" t="inlineStr"/>
      <c r="D9" s="10" t="n"/>
    </row>
    <row r="10">
      <c r="A10" s="19" t="n"/>
      <c r="B10" s="10" t="inlineStr">
        <is>
          <t>IP/AG</t>
        </is>
      </c>
      <c r="C10" s="10" t="inlineStr"/>
      <c r="D10" s="10" t="n"/>
    </row>
    <row r="11">
      <c r="A11" s="10" t="inlineStr">
        <is>
          <t>OESTE</t>
        </is>
      </c>
      <c r="B11" s="10" t="inlineStr">
        <is>
          <t>DV/IJ</t>
        </is>
      </c>
      <c r="C11" s="10" t="inlineStr"/>
      <c r="D11" s="10" t="n"/>
    </row>
    <row r="12">
      <c r="A12" s="18" t="n"/>
      <c r="B12" s="10" t="inlineStr">
        <is>
          <t>FM/CL</t>
        </is>
      </c>
      <c r="C12" s="10" t="inlineStr"/>
      <c r="D12" s="10" t="n"/>
    </row>
    <row r="13">
      <c r="A13" s="19" t="n"/>
      <c r="B13" s="10" t="inlineStr">
        <is>
          <t>IA/CR</t>
        </is>
      </c>
      <c r="C13" s="10" t="inlineStr"/>
      <c r="D13" s="10" t="n"/>
    </row>
    <row r="14">
      <c r="A14" s="10" t="inlineStr">
        <is>
          <t>NORTE</t>
        </is>
      </c>
      <c r="B14" s="10" t="inlineStr">
        <is>
          <t>MO/SI</t>
        </is>
      </c>
      <c r="C14" s="10" t="inlineStr"/>
      <c r="D14" s="10" t="n"/>
    </row>
    <row r="15">
      <c r="A15" s="18" t="n"/>
      <c r="B15" s="10" t="inlineStr">
        <is>
          <t>PT/AL</t>
        </is>
      </c>
      <c r="C15" s="10" t="inlineStr"/>
      <c r="D15" s="10" t="n"/>
    </row>
    <row r="16">
      <c r="A16" s="18" t="n"/>
      <c r="B16" s="10" t="inlineStr">
        <is>
          <t>JN/BC</t>
        </is>
      </c>
      <c r="C16" s="10" t="inlineStr"/>
      <c r="D16" s="10" t="n"/>
    </row>
    <row r="17">
      <c r="A17" s="19" t="n"/>
      <c r="B17" s="10" t="inlineStr">
        <is>
          <t>JB/PI</t>
        </is>
      </c>
      <c r="C17" s="10" t="inlineStr"/>
      <c r="D17" s="10" t="n"/>
    </row>
    <row r="18">
      <c r="A18" s="10" t="inlineStr">
        <is>
          <t>MANTIQUEIRA</t>
        </is>
      </c>
      <c r="B18" s="10" t="inlineStr">
        <is>
          <t>JF/OP</t>
        </is>
      </c>
      <c r="C18" s="10" t="inlineStr"/>
      <c r="D18" s="10" t="n"/>
    </row>
    <row r="19">
      <c r="A19" s="18" t="n"/>
      <c r="B19" s="10" t="inlineStr">
        <is>
          <t>PN/LV</t>
        </is>
      </c>
      <c r="C19" s="10" t="inlineStr"/>
      <c r="D19" s="10" t="n"/>
    </row>
    <row r="20">
      <c r="A20" s="19" t="n"/>
      <c r="B20" s="10" t="inlineStr">
        <is>
          <t>LF/BD</t>
        </is>
      </c>
      <c r="C20" s="10" t="inlineStr"/>
      <c r="D20" s="10" t="n"/>
    </row>
    <row r="21">
      <c r="A21" s="10" t="inlineStr">
        <is>
          <t>TRIANGULO</t>
        </is>
      </c>
      <c r="B21" s="10" t="inlineStr">
        <is>
          <t>UL/IR</t>
        </is>
      </c>
      <c r="C21" s="10" t="inlineStr"/>
      <c r="D21" s="10" t="n"/>
    </row>
    <row r="22">
      <c r="A22" s="18" t="n"/>
      <c r="B22" s="10" t="inlineStr">
        <is>
          <t>PM/PS</t>
        </is>
      </c>
      <c r="C22" s="10" t="inlineStr"/>
      <c r="D22" s="10" t="n"/>
    </row>
    <row r="23">
      <c r="A23" s="18" t="n"/>
      <c r="B23" s="10" t="inlineStr">
        <is>
          <t>TB/AF</t>
        </is>
      </c>
      <c r="C23" s="10" t="inlineStr"/>
      <c r="D23" s="10" t="n"/>
    </row>
    <row r="24">
      <c r="A24" s="19" t="n"/>
      <c r="B24" s="10" t="inlineStr">
        <is>
          <t>UR/JM</t>
        </is>
      </c>
      <c r="C24" s="10" t="inlineStr"/>
      <c r="D24" s="10" t="n"/>
    </row>
    <row r="25">
      <c r="A25" s="10" t="inlineStr">
        <is>
          <t>SUL</t>
        </is>
      </c>
      <c r="B25" s="10" t="inlineStr">
        <is>
          <t>PA/SJ</t>
        </is>
      </c>
      <c r="C25" s="10" t="inlineStr"/>
      <c r="D25" s="10" t="n"/>
    </row>
    <row r="26">
      <c r="A26" s="18" t="n"/>
      <c r="B26" s="10" t="inlineStr">
        <is>
          <t>TC/FR</t>
        </is>
      </c>
      <c r="C26" s="10" t="inlineStr"/>
      <c r="D26" s="10" t="n"/>
    </row>
    <row r="27">
      <c r="A27" s="19" t="n"/>
      <c r="B27" s="10" t="inlineStr">
        <is>
          <t>VR/AX</t>
        </is>
      </c>
      <c r="C27" s="10" t="inlineStr"/>
      <c r="D27" s="10" t="n"/>
    </row>
    <row r="28">
      <c r="A28" s="10" t="inlineStr">
        <is>
          <t>CENTRO</t>
        </is>
      </c>
      <c r="B28" s="10" t="inlineStr">
        <is>
          <t>CN/MG</t>
        </is>
      </c>
      <c r="C28" s="10" t="inlineStr"/>
      <c r="D28" s="10" t="n"/>
    </row>
    <row r="29">
      <c r="A29" s="3" t="inlineStr">
        <is>
          <t>Supervisor</t>
        </is>
      </c>
      <c r="B29" s="3" t="n"/>
      <c r="C29" s="3" t="inlineStr"/>
      <c r="D29" s="3" t="n"/>
    </row>
  </sheetData>
  <mergeCells count="38">
    <mergeCell ref="C6:D6"/>
    <mergeCell ref="C24:D24"/>
    <mergeCell ref="C15:D15"/>
    <mergeCell ref="C5:D5"/>
    <mergeCell ref="C14:D14"/>
    <mergeCell ref="A28"/>
    <mergeCell ref="C26:D26"/>
    <mergeCell ref="C4:D4"/>
    <mergeCell ref="C20:D20"/>
    <mergeCell ref="C29:D29"/>
    <mergeCell ref="C10:D10"/>
    <mergeCell ref="C16:D16"/>
    <mergeCell ref="A7:A10"/>
    <mergeCell ref="C25:D25"/>
    <mergeCell ref="A3:A6"/>
    <mergeCell ref="A21:A24"/>
    <mergeCell ref="C22:D22"/>
    <mergeCell ref="C9:D9"/>
    <mergeCell ref="A1:D1"/>
    <mergeCell ref="C12:D12"/>
    <mergeCell ref="C21:D21"/>
    <mergeCell ref="C2:D2"/>
    <mergeCell ref="C11:D11"/>
    <mergeCell ref="C27:D27"/>
    <mergeCell ref="A11:A13"/>
    <mergeCell ref="A14:A17"/>
    <mergeCell ref="C17:D17"/>
    <mergeCell ref="C23:D23"/>
    <mergeCell ref="C8:D8"/>
    <mergeCell ref="C7:D7"/>
    <mergeCell ref="A29:B29"/>
    <mergeCell ref="A25:A27"/>
    <mergeCell ref="C19:D19"/>
    <mergeCell ref="C28:D28"/>
    <mergeCell ref="C13:D13"/>
    <mergeCell ref="C18:D18"/>
    <mergeCell ref="C3:D3"/>
    <mergeCell ref="A18:A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J53"/>
  <sheetViews>
    <sheetView showGridLines="0" workbookViewId="0">
      <selection activeCell="A1" sqref="A1"/>
    </sheetView>
  </sheetViews>
  <sheetFormatPr baseColWidth="8" defaultRowHeight="15"/>
  <cols>
    <col width="3" customWidth="1" min="1" max="1"/>
    <col width="9" customWidth="1" min="2" max="2"/>
    <col width="24" customWidth="1" min="3" max="3"/>
    <col width="16" customWidth="1" min="4" max="4"/>
    <col width="16" customWidth="1" min="5" max="5"/>
    <col width="16" customWidth="1" min="6" max="6"/>
    <col width="12" customWidth="1" min="7" max="7"/>
    <col width="12" customWidth="1" min="8" max="8"/>
    <col width="14" customWidth="1" min="9" max="9"/>
    <col width="12" customWidth="1" min="10" max="10"/>
  </cols>
  <sheetData>
    <row r="2">
      <c r="B2" s="1" t="inlineStr">
        <is>
          <t>BANCO DE CONHECIMENTO - PESOS POR POSTO</t>
        </is>
      </c>
    </row>
    <row r="3" ht="28" customHeight="1">
      <c r="B3" s="6" t="inlineStr">
        <is>
          <t>Regra: +1 ponto por dia despachado no posto. Apos 180 dias (6 meses) sem despachar, perde 1 ponto por dia ate zerar. 'Pontos efetivos' aplica o decaimento automaticamente.</t>
        </is>
      </c>
    </row>
    <row r="5">
      <c r="B5" s="20" t="inlineStr">
        <is>
          <t>HOJE:</t>
        </is>
      </c>
      <c r="C5" s="21">
        <f>TODAY()</f>
        <v/>
      </c>
    </row>
    <row r="7">
      <c r="B7" s="3" t="inlineStr">
        <is>
          <t>ID Func.</t>
        </is>
      </c>
      <c r="C7" s="3" t="inlineStr">
        <is>
          <t>Funcionario</t>
        </is>
      </c>
      <c r="D7" s="3" t="inlineStr">
        <is>
          <t>Posto</t>
        </is>
      </c>
      <c r="E7" s="3" t="inlineStr">
        <is>
          <t>Dias despachados</t>
        </is>
      </c>
      <c r="F7" s="3" t="inlineStr">
        <is>
          <t>Ultimo despacho</t>
        </is>
      </c>
      <c r="G7" s="3" t="inlineStr">
        <is>
          <t>Dias parado</t>
        </is>
      </c>
      <c r="H7" s="3" t="inlineStr">
        <is>
          <t>Decaimento</t>
        </is>
      </c>
      <c r="I7" s="3" t="inlineStr">
        <is>
          <t>Pontos efetivos</t>
        </is>
      </c>
      <c r="J7" s="3" t="inlineStr">
        <is>
          <t>Nivel</t>
        </is>
      </c>
    </row>
    <row r="8">
      <c r="B8" s="10" t="n">
        <v>1</v>
      </c>
      <c r="C8" s="4" t="inlineStr">
        <is>
          <t>Felipe Generoso</t>
        </is>
      </c>
      <c r="D8" s="10" t="inlineStr">
        <is>
          <t>BH/NL</t>
        </is>
      </c>
      <c r="E8" s="10" t="n">
        <v>420</v>
      </c>
      <c r="F8" s="22" t="n">
        <v>46174</v>
      </c>
      <c r="G8" s="10">
        <f>IF(F8="","",$C$5-F8)</f>
        <v/>
      </c>
      <c r="H8" s="10">
        <f>IF(F8="",0,MAX(0,G8-180))</f>
        <v/>
      </c>
      <c r="I8" s="10">
        <f>MAX(0,E8-H8)</f>
        <v/>
      </c>
      <c r="J8" s="10">
        <f>IF(I8&gt;=180,"Especialista",IF(I8&gt;=60,"Apto",IF(I8&gt;0,"Basico","Sem pratica")))</f>
        <v/>
      </c>
    </row>
    <row r="9">
      <c r="B9" s="10" t="n">
        <v>1</v>
      </c>
      <c r="C9" s="4" t="inlineStr">
        <is>
          <t>Felipe Generoso</t>
        </is>
      </c>
      <c r="D9" s="10" t="inlineStr">
        <is>
          <t>SG/AR</t>
        </is>
      </c>
      <c r="E9" s="10" t="n">
        <v>35</v>
      </c>
      <c r="F9" s="22" t="n">
        <v>45910</v>
      </c>
      <c r="G9" s="10">
        <f>IF(F9="","",$C$5-F9)</f>
        <v/>
      </c>
      <c r="H9" s="10">
        <f>IF(F9="",0,MAX(0,G9-180))</f>
        <v/>
      </c>
      <c r="I9" s="10">
        <f>MAX(0,E9-H9)</f>
        <v/>
      </c>
      <c r="J9" s="10">
        <f>IF(I9&gt;=180,"Especialista",IF(I9&gt;=60,"Apto",IF(I9&gt;0,"Basico","Sem pratica")))</f>
        <v/>
      </c>
    </row>
    <row r="10">
      <c r="B10" s="10" t="n">
        <v>4</v>
      </c>
      <c r="C10" s="4" t="inlineStr">
        <is>
          <t>Elenise Ceres</t>
        </is>
      </c>
      <c r="D10" s="10" t="inlineStr">
        <is>
          <t>SL</t>
        </is>
      </c>
      <c r="E10" s="10" t="n">
        <v>380</v>
      </c>
      <c r="F10" s="22" t="n">
        <v>46170</v>
      </c>
      <c r="G10" s="10">
        <f>IF(F10="","",$C$5-F10)</f>
        <v/>
      </c>
      <c r="H10" s="10">
        <f>IF(F10="",0,MAX(0,G10-180))</f>
        <v/>
      </c>
      <c r="I10" s="10">
        <f>MAX(0,E10-H10)</f>
        <v/>
      </c>
      <c r="J10" s="10">
        <f>IF(I10&gt;=180,"Especialista",IF(I10&gt;=60,"Apto",IF(I10&gt;0,"Basico","Sem pratica")))</f>
        <v/>
      </c>
    </row>
    <row r="11">
      <c r="B11" s="10" t="n">
        <v>25</v>
      </c>
      <c r="C11" s="4" t="inlineStr">
        <is>
          <t>Erick Garcia</t>
        </is>
      </c>
      <c r="D11" s="10" t="inlineStr">
        <is>
          <t>VR/AX</t>
        </is>
      </c>
      <c r="E11" s="10" t="n">
        <v>512</v>
      </c>
      <c r="F11" s="22" t="n">
        <v>46176</v>
      </c>
      <c r="G11" s="10">
        <f>IF(F11="","",$C$5-F11)</f>
        <v/>
      </c>
      <c r="H11" s="10">
        <f>IF(F11="",0,MAX(0,G11-180))</f>
        <v/>
      </c>
      <c r="I11" s="10">
        <f>MAX(0,E11-H11)</f>
        <v/>
      </c>
      <c r="J11" s="10">
        <f>IF(I11&gt;=180,"Especialista",IF(I11&gt;=60,"Apto",IF(I11&gt;0,"Basico","Sem pratica")))</f>
        <v/>
      </c>
    </row>
    <row r="12">
      <c r="B12" s="10" t="n">
        <v>25</v>
      </c>
      <c r="C12" s="4" t="inlineStr">
        <is>
          <t>Erick Garcia</t>
        </is>
      </c>
      <c r="D12" s="10" t="inlineStr">
        <is>
          <t>PA/SJ</t>
        </is>
      </c>
      <c r="E12" s="10" t="n">
        <v>18</v>
      </c>
      <c r="F12" s="22" t="n">
        <v>45839</v>
      </c>
      <c r="G12" s="10">
        <f>IF(F12="","",$C$5-F12)</f>
        <v/>
      </c>
      <c r="H12" s="10">
        <f>IF(F12="",0,MAX(0,G12-180))</f>
        <v/>
      </c>
      <c r="I12" s="10">
        <f>MAX(0,E12-H12)</f>
        <v/>
      </c>
      <c r="J12" s="10">
        <f>IF(I12&gt;=180,"Especialista",IF(I12&gt;=60,"Apto",IF(I12&gt;0,"Basico","Sem pratica")))</f>
        <v/>
      </c>
    </row>
    <row r="13">
      <c r="B13" s="10" t="n">
        <v>7</v>
      </c>
      <c r="C13" s="4" t="inlineStr">
        <is>
          <t>Samuel Mazoni</t>
        </is>
      </c>
      <c r="D13" s="10" t="inlineStr">
        <is>
          <t>TO/PR</t>
        </is>
      </c>
      <c r="E13" s="10" t="n">
        <v>260</v>
      </c>
      <c r="F13" s="22" t="n">
        <v>46172</v>
      </c>
      <c r="G13" s="10">
        <f>IF(F13="","",$C$5-F13)</f>
        <v/>
      </c>
      <c r="H13" s="10">
        <f>IF(F13="",0,MAX(0,G13-180))</f>
        <v/>
      </c>
      <c r="I13" s="10">
        <f>MAX(0,E13-H13)</f>
        <v/>
      </c>
      <c r="J13" s="10">
        <f>IF(I13&gt;=180,"Especialista",IF(I13&gt;=60,"Apto",IF(I13&gt;0,"Basico","Sem pratica")))</f>
        <v/>
      </c>
    </row>
    <row r="14">
      <c r="B14" s="7" t="n"/>
      <c r="C14" s="7" t="n"/>
      <c r="D14" s="7" t="n"/>
      <c r="E14" s="7" t="n"/>
      <c r="F14" s="7" t="n"/>
      <c r="G14" s="7">
        <f>IF(F14="","",$C$5-F14)</f>
        <v/>
      </c>
      <c r="H14" s="7">
        <f>IF(F14="",0,MAX(0,G14-180))</f>
        <v/>
      </c>
      <c r="I14" s="7">
        <f>IF(E14="","",MAX(0,E14-H14))</f>
        <v/>
      </c>
      <c r="J14" s="7">
        <f>IF(E14="","",IF(I14&gt;=180,"Especialista",IF(I14&gt;=60,"Apto",IF(I14&gt;0,"Basico","Sem pratica"))))</f>
        <v/>
      </c>
    </row>
    <row r="15">
      <c r="B15" s="7" t="n"/>
      <c r="C15" s="7" t="n"/>
      <c r="D15" s="7" t="n"/>
      <c r="E15" s="7" t="n"/>
      <c r="F15" s="7" t="n"/>
      <c r="G15" s="7">
        <f>IF(F15="","",$C$5-F15)</f>
        <v/>
      </c>
      <c r="H15" s="7">
        <f>IF(F15="",0,MAX(0,G15-180))</f>
        <v/>
      </c>
      <c r="I15" s="7">
        <f>IF(E15="","",MAX(0,E15-H15))</f>
        <v/>
      </c>
      <c r="J15" s="7">
        <f>IF(E15="","",IF(I15&gt;=180,"Especialista",IF(I15&gt;=60,"Apto",IF(I15&gt;0,"Basico","Sem pratica"))))</f>
        <v/>
      </c>
    </row>
    <row r="16">
      <c r="B16" s="7" t="n"/>
      <c r="C16" s="7" t="n"/>
      <c r="D16" s="7" t="n"/>
      <c r="E16" s="7" t="n"/>
      <c r="F16" s="7" t="n"/>
      <c r="G16" s="7">
        <f>IF(F16="","",$C$5-F16)</f>
        <v/>
      </c>
      <c r="H16" s="7">
        <f>IF(F16="",0,MAX(0,G16-180))</f>
        <v/>
      </c>
      <c r="I16" s="7">
        <f>IF(E16="","",MAX(0,E16-H16))</f>
        <v/>
      </c>
      <c r="J16" s="7">
        <f>IF(E16="","",IF(I16&gt;=180,"Especialista",IF(I16&gt;=60,"Apto",IF(I16&gt;0,"Basico","Sem pratica"))))</f>
        <v/>
      </c>
    </row>
    <row r="17">
      <c r="B17" s="7" t="n"/>
      <c r="C17" s="7" t="n"/>
      <c r="D17" s="7" t="n"/>
      <c r="E17" s="7" t="n"/>
      <c r="F17" s="7" t="n"/>
      <c r="G17" s="7">
        <f>IF(F17="","",$C$5-F17)</f>
        <v/>
      </c>
      <c r="H17" s="7">
        <f>IF(F17="",0,MAX(0,G17-180))</f>
        <v/>
      </c>
      <c r="I17" s="7">
        <f>IF(E17="","",MAX(0,E17-H17))</f>
        <v/>
      </c>
      <c r="J17" s="7">
        <f>IF(E17="","",IF(I17&gt;=180,"Especialista",IF(I17&gt;=60,"Apto",IF(I17&gt;0,"Basico","Sem pratica"))))</f>
        <v/>
      </c>
    </row>
    <row r="18">
      <c r="B18" s="7" t="n"/>
      <c r="C18" s="7" t="n"/>
      <c r="D18" s="7" t="n"/>
      <c r="E18" s="7" t="n"/>
      <c r="F18" s="7" t="n"/>
      <c r="G18" s="7">
        <f>IF(F18="","",$C$5-F18)</f>
        <v/>
      </c>
      <c r="H18" s="7">
        <f>IF(F18="",0,MAX(0,G18-180))</f>
        <v/>
      </c>
      <c r="I18" s="7">
        <f>IF(E18="","",MAX(0,E18-H18))</f>
        <v/>
      </c>
      <c r="J18" s="7">
        <f>IF(E18="","",IF(I18&gt;=180,"Especialista",IF(I18&gt;=60,"Apto",IF(I18&gt;0,"Basico","Sem pratica"))))</f>
        <v/>
      </c>
    </row>
    <row r="19">
      <c r="B19" s="7" t="n"/>
      <c r="C19" s="7" t="n"/>
      <c r="D19" s="7" t="n"/>
      <c r="E19" s="7" t="n"/>
      <c r="F19" s="7" t="n"/>
      <c r="G19" s="7">
        <f>IF(F19="","",$C$5-F19)</f>
        <v/>
      </c>
      <c r="H19" s="7">
        <f>IF(F19="",0,MAX(0,G19-180))</f>
        <v/>
      </c>
      <c r="I19" s="7">
        <f>IF(E19="","",MAX(0,E19-H19))</f>
        <v/>
      </c>
      <c r="J19" s="7">
        <f>IF(E19="","",IF(I19&gt;=180,"Especialista",IF(I19&gt;=60,"Apto",IF(I19&gt;0,"Basico","Sem pratica"))))</f>
        <v/>
      </c>
    </row>
    <row r="20">
      <c r="B20" s="7" t="n"/>
      <c r="C20" s="7" t="n"/>
      <c r="D20" s="7" t="n"/>
      <c r="E20" s="7" t="n"/>
      <c r="F20" s="7" t="n"/>
      <c r="G20" s="7">
        <f>IF(F20="","",$C$5-F20)</f>
        <v/>
      </c>
      <c r="H20" s="7">
        <f>IF(F20="",0,MAX(0,G20-180))</f>
        <v/>
      </c>
      <c r="I20" s="7">
        <f>IF(E20="","",MAX(0,E20-H20))</f>
        <v/>
      </c>
      <c r="J20" s="7">
        <f>IF(E20="","",IF(I20&gt;=180,"Especialista",IF(I20&gt;=60,"Apto",IF(I20&gt;0,"Basico","Sem pratica"))))</f>
        <v/>
      </c>
    </row>
    <row r="21">
      <c r="B21" s="7" t="n"/>
      <c r="C21" s="7" t="n"/>
      <c r="D21" s="7" t="n"/>
      <c r="E21" s="7" t="n"/>
      <c r="F21" s="7" t="n"/>
      <c r="G21" s="7">
        <f>IF(F21="","",$C$5-F21)</f>
        <v/>
      </c>
      <c r="H21" s="7">
        <f>IF(F21="",0,MAX(0,G21-180))</f>
        <v/>
      </c>
      <c r="I21" s="7">
        <f>IF(E21="","",MAX(0,E21-H21))</f>
        <v/>
      </c>
      <c r="J21" s="7">
        <f>IF(E21="","",IF(I21&gt;=180,"Especialista",IF(I21&gt;=60,"Apto",IF(I21&gt;0,"Basico","Sem pratica"))))</f>
        <v/>
      </c>
    </row>
    <row r="22">
      <c r="B22" s="7" t="n"/>
      <c r="C22" s="7" t="n"/>
      <c r="D22" s="7" t="n"/>
      <c r="E22" s="7" t="n"/>
      <c r="F22" s="7" t="n"/>
      <c r="G22" s="7">
        <f>IF(F22="","",$C$5-F22)</f>
        <v/>
      </c>
      <c r="H22" s="7">
        <f>IF(F22="",0,MAX(0,G22-180))</f>
        <v/>
      </c>
      <c r="I22" s="7">
        <f>IF(E22="","",MAX(0,E22-H22))</f>
        <v/>
      </c>
      <c r="J22" s="7">
        <f>IF(E22="","",IF(I22&gt;=180,"Especialista",IF(I22&gt;=60,"Apto",IF(I22&gt;0,"Basico","Sem pratica"))))</f>
        <v/>
      </c>
    </row>
    <row r="23">
      <c r="B23" s="7" t="n"/>
      <c r="C23" s="7" t="n"/>
      <c r="D23" s="7" t="n"/>
      <c r="E23" s="7" t="n"/>
      <c r="F23" s="7" t="n"/>
      <c r="G23" s="7">
        <f>IF(F23="","",$C$5-F23)</f>
        <v/>
      </c>
      <c r="H23" s="7">
        <f>IF(F23="",0,MAX(0,G23-180))</f>
        <v/>
      </c>
      <c r="I23" s="7">
        <f>IF(E23="","",MAX(0,E23-H23))</f>
        <v/>
      </c>
      <c r="J23" s="7">
        <f>IF(E23="","",IF(I23&gt;=180,"Especialista",IF(I23&gt;=60,"Apto",IF(I23&gt;0,"Basico","Sem pratica"))))</f>
        <v/>
      </c>
    </row>
    <row r="24">
      <c r="B24" s="7" t="n"/>
      <c r="C24" s="7" t="n"/>
      <c r="D24" s="7" t="n"/>
      <c r="E24" s="7" t="n"/>
      <c r="F24" s="7" t="n"/>
      <c r="G24" s="7">
        <f>IF(F24="","",$C$5-F24)</f>
        <v/>
      </c>
      <c r="H24" s="7">
        <f>IF(F24="",0,MAX(0,G24-180))</f>
        <v/>
      </c>
      <c r="I24" s="7">
        <f>IF(E24="","",MAX(0,E24-H24))</f>
        <v/>
      </c>
      <c r="J24" s="7">
        <f>IF(E24="","",IF(I24&gt;=180,"Especialista",IF(I24&gt;=60,"Apto",IF(I24&gt;0,"Basico","Sem pratica"))))</f>
        <v/>
      </c>
    </row>
    <row r="25">
      <c r="B25" s="7" t="n"/>
      <c r="C25" s="7" t="n"/>
      <c r="D25" s="7" t="n"/>
      <c r="E25" s="7" t="n"/>
      <c r="F25" s="7" t="n"/>
      <c r="G25" s="7">
        <f>IF(F25="","",$C$5-F25)</f>
        <v/>
      </c>
      <c r="H25" s="7">
        <f>IF(F25="",0,MAX(0,G25-180))</f>
        <v/>
      </c>
      <c r="I25" s="7">
        <f>IF(E25="","",MAX(0,E25-H25))</f>
        <v/>
      </c>
      <c r="J25" s="7">
        <f>IF(E25="","",IF(I25&gt;=180,"Especialista",IF(I25&gt;=60,"Apto",IF(I25&gt;0,"Basico","Sem pratica"))))</f>
        <v/>
      </c>
    </row>
    <row r="26">
      <c r="B26" s="7" t="n"/>
      <c r="C26" s="7" t="n"/>
      <c r="D26" s="7" t="n"/>
      <c r="E26" s="7" t="n"/>
      <c r="F26" s="7" t="n"/>
      <c r="G26" s="7">
        <f>IF(F26="","",$C$5-F26)</f>
        <v/>
      </c>
      <c r="H26" s="7">
        <f>IF(F26="",0,MAX(0,G26-180))</f>
        <v/>
      </c>
      <c r="I26" s="7">
        <f>IF(E26="","",MAX(0,E26-H26))</f>
        <v/>
      </c>
      <c r="J26" s="7">
        <f>IF(E26="","",IF(I26&gt;=180,"Especialista",IF(I26&gt;=60,"Apto",IF(I26&gt;0,"Basico","Sem pratica"))))</f>
        <v/>
      </c>
    </row>
    <row r="27">
      <c r="B27" s="7" t="n"/>
      <c r="C27" s="7" t="n"/>
      <c r="D27" s="7" t="n"/>
      <c r="E27" s="7" t="n"/>
      <c r="F27" s="7" t="n"/>
      <c r="G27" s="7">
        <f>IF(F27="","",$C$5-F27)</f>
        <v/>
      </c>
      <c r="H27" s="7">
        <f>IF(F27="",0,MAX(0,G27-180))</f>
        <v/>
      </c>
      <c r="I27" s="7">
        <f>IF(E27="","",MAX(0,E27-H27))</f>
        <v/>
      </c>
      <c r="J27" s="7">
        <f>IF(E27="","",IF(I27&gt;=180,"Especialista",IF(I27&gt;=60,"Apto",IF(I27&gt;0,"Basico","Sem pratica"))))</f>
        <v/>
      </c>
    </row>
    <row r="28">
      <c r="B28" s="7" t="n"/>
      <c r="C28" s="7" t="n"/>
      <c r="D28" s="7" t="n"/>
      <c r="E28" s="7" t="n"/>
      <c r="F28" s="7" t="n"/>
      <c r="G28" s="7">
        <f>IF(F28="","",$C$5-F28)</f>
        <v/>
      </c>
      <c r="H28" s="7">
        <f>IF(F28="",0,MAX(0,G28-180))</f>
        <v/>
      </c>
      <c r="I28" s="7">
        <f>IF(E28="","",MAX(0,E28-H28))</f>
        <v/>
      </c>
      <c r="J28" s="7">
        <f>IF(E28="","",IF(I28&gt;=180,"Especialista",IF(I28&gt;=60,"Apto",IF(I28&gt;0,"Basico","Sem pratica"))))</f>
        <v/>
      </c>
    </row>
    <row r="29">
      <c r="B29" s="7" t="n"/>
      <c r="C29" s="7" t="n"/>
      <c r="D29" s="7" t="n"/>
      <c r="E29" s="7" t="n"/>
      <c r="F29" s="7" t="n"/>
      <c r="G29" s="7">
        <f>IF(F29="","",$C$5-F29)</f>
        <v/>
      </c>
      <c r="H29" s="7">
        <f>IF(F29="",0,MAX(0,G29-180))</f>
        <v/>
      </c>
      <c r="I29" s="7">
        <f>IF(E29="","",MAX(0,E29-H29))</f>
        <v/>
      </c>
      <c r="J29" s="7">
        <f>IF(E29="","",IF(I29&gt;=180,"Especialista",IF(I29&gt;=60,"Apto",IF(I29&gt;0,"Basico","Sem pratica"))))</f>
        <v/>
      </c>
    </row>
    <row r="30">
      <c r="B30" s="7" t="n"/>
      <c r="C30" s="7" t="n"/>
      <c r="D30" s="7" t="n"/>
      <c r="E30" s="7" t="n"/>
      <c r="F30" s="7" t="n"/>
      <c r="G30" s="7">
        <f>IF(F30="","",$C$5-F30)</f>
        <v/>
      </c>
      <c r="H30" s="7">
        <f>IF(F30="",0,MAX(0,G30-180))</f>
        <v/>
      </c>
      <c r="I30" s="7">
        <f>IF(E30="","",MAX(0,E30-H30))</f>
        <v/>
      </c>
      <c r="J30" s="7">
        <f>IF(E30="","",IF(I30&gt;=180,"Especialista",IF(I30&gt;=60,"Apto",IF(I30&gt;0,"Basico","Sem pratica"))))</f>
        <v/>
      </c>
    </row>
    <row r="31">
      <c r="B31" s="7" t="n"/>
      <c r="C31" s="7" t="n"/>
      <c r="D31" s="7" t="n"/>
      <c r="E31" s="7" t="n"/>
      <c r="F31" s="7" t="n"/>
      <c r="G31" s="7">
        <f>IF(F31="","",$C$5-F31)</f>
        <v/>
      </c>
      <c r="H31" s="7">
        <f>IF(F31="",0,MAX(0,G31-180))</f>
        <v/>
      </c>
      <c r="I31" s="7">
        <f>IF(E31="","",MAX(0,E31-H31))</f>
        <v/>
      </c>
      <c r="J31" s="7">
        <f>IF(E31="","",IF(I31&gt;=180,"Especialista",IF(I31&gt;=60,"Apto",IF(I31&gt;0,"Basico","Sem pratica"))))</f>
        <v/>
      </c>
    </row>
    <row r="32">
      <c r="B32" s="7" t="n"/>
      <c r="C32" s="7" t="n"/>
      <c r="D32" s="7" t="n"/>
      <c r="E32" s="7" t="n"/>
      <c r="F32" s="7" t="n"/>
      <c r="G32" s="7">
        <f>IF(F32="","",$C$5-F32)</f>
        <v/>
      </c>
      <c r="H32" s="7">
        <f>IF(F32="",0,MAX(0,G32-180))</f>
        <v/>
      </c>
      <c r="I32" s="7">
        <f>IF(E32="","",MAX(0,E32-H32))</f>
        <v/>
      </c>
      <c r="J32" s="7">
        <f>IF(E32="","",IF(I32&gt;=180,"Especialista",IF(I32&gt;=60,"Apto",IF(I32&gt;0,"Basico","Sem pratica"))))</f>
        <v/>
      </c>
    </row>
    <row r="33">
      <c r="B33" s="7" t="n"/>
      <c r="C33" s="7" t="n"/>
      <c r="D33" s="7" t="n"/>
      <c r="E33" s="7" t="n"/>
      <c r="F33" s="7" t="n"/>
      <c r="G33" s="7">
        <f>IF(F33="","",$C$5-F33)</f>
        <v/>
      </c>
      <c r="H33" s="7">
        <f>IF(F33="",0,MAX(0,G33-180))</f>
        <v/>
      </c>
      <c r="I33" s="7">
        <f>IF(E33="","",MAX(0,E33-H33))</f>
        <v/>
      </c>
      <c r="J33" s="7">
        <f>IF(E33="","",IF(I33&gt;=180,"Especialista",IF(I33&gt;=60,"Apto",IF(I33&gt;0,"Basico","Sem pratica"))))</f>
        <v/>
      </c>
    </row>
    <row r="34">
      <c r="B34" s="7" t="n"/>
      <c r="C34" s="7" t="n"/>
      <c r="D34" s="7" t="n"/>
      <c r="E34" s="7" t="n"/>
      <c r="F34" s="7" t="n"/>
      <c r="G34" s="7">
        <f>IF(F34="","",$C$5-F34)</f>
        <v/>
      </c>
      <c r="H34" s="7">
        <f>IF(F34="",0,MAX(0,G34-180))</f>
        <v/>
      </c>
      <c r="I34" s="7">
        <f>IF(E34="","",MAX(0,E34-H34))</f>
        <v/>
      </c>
      <c r="J34" s="7">
        <f>IF(E34="","",IF(I34&gt;=180,"Especialista",IF(I34&gt;=60,"Apto",IF(I34&gt;0,"Basico","Sem pratica"))))</f>
        <v/>
      </c>
    </row>
    <row r="35">
      <c r="B35" s="7" t="n"/>
      <c r="C35" s="7" t="n"/>
      <c r="D35" s="7" t="n"/>
      <c r="E35" s="7" t="n"/>
      <c r="F35" s="7" t="n"/>
      <c r="G35" s="7">
        <f>IF(F35="","",$C$5-F35)</f>
        <v/>
      </c>
      <c r="H35" s="7">
        <f>IF(F35="",0,MAX(0,G35-180))</f>
        <v/>
      </c>
      <c r="I35" s="7">
        <f>IF(E35="","",MAX(0,E35-H35))</f>
        <v/>
      </c>
      <c r="J35" s="7">
        <f>IF(E35="","",IF(I35&gt;=180,"Especialista",IF(I35&gt;=60,"Apto",IF(I35&gt;0,"Basico","Sem pratica"))))</f>
        <v/>
      </c>
    </row>
    <row r="36">
      <c r="B36" s="7" t="n"/>
      <c r="C36" s="7" t="n"/>
      <c r="D36" s="7" t="n"/>
      <c r="E36" s="7" t="n"/>
      <c r="F36" s="7" t="n"/>
      <c r="G36" s="7">
        <f>IF(F36="","",$C$5-F36)</f>
        <v/>
      </c>
      <c r="H36" s="7">
        <f>IF(F36="",0,MAX(0,G36-180))</f>
        <v/>
      </c>
      <c r="I36" s="7">
        <f>IF(E36="","",MAX(0,E36-H36))</f>
        <v/>
      </c>
      <c r="J36" s="7">
        <f>IF(E36="","",IF(I36&gt;=180,"Especialista",IF(I36&gt;=60,"Apto",IF(I36&gt;0,"Basico","Sem pratica"))))</f>
        <v/>
      </c>
    </row>
    <row r="37">
      <c r="B37" s="7" t="n"/>
      <c r="C37" s="7" t="n"/>
      <c r="D37" s="7" t="n"/>
      <c r="E37" s="7" t="n"/>
      <c r="F37" s="7" t="n"/>
      <c r="G37" s="7">
        <f>IF(F37="","",$C$5-F37)</f>
        <v/>
      </c>
      <c r="H37" s="7">
        <f>IF(F37="",0,MAX(0,G37-180))</f>
        <v/>
      </c>
      <c r="I37" s="7">
        <f>IF(E37="","",MAX(0,E37-H37))</f>
        <v/>
      </c>
      <c r="J37" s="7">
        <f>IF(E37="","",IF(I37&gt;=180,"Especialista",IF(I37&gt;=60,"Apto",IF(I37&gt;0,"Basico","Sem pratica"))))</f>
        <v/>
      </c>
    </row>
    <row r="38">
      <c r="B38" s="7" t="n"/>
      <c r="C38" s="7" t="n"/>
      <c r="D38" s="7" t="n"/>
      <c r="E38" s="7" t="n"/>
      <c r="F38" s="7" t="n"/>
      <c r="G38" s="7">
        <f>IF(F38="","",$C$5-F38)</f>
        <v/>
      </c>
      <c r="H38" s="7">
        <f>IF(F38="",0,MAX(0,G38-180))</f>
        <v/>
      </c>
      <c r="I38" s="7">
        <f>IF(E38="","",MAX(0,E38-H38))</f>
        <v/>
      </c>
      <c r="J38" s="7">
        <f>IF(E38="","",IF(I38&gt;=180,"Especialista",IF(I38&gt;=60,"Apto",IF(I38&gt;0,"Basico","Sem pratica"))))</f>
        <v/>
      </c>
    </row>
    <row r="39">
      <c r="B39" s="7" t="n"/>
      <c r="C39" s="7" t="n"/>
      <c r="D39" s="7" t="n"/>
      <c r="E39" s="7" t="n"/>
      <c r="F39" s="7" t="n"/>
      <c r="G39" s="7">
        <f>IF(F39="","",$C$5-F39)</f>
        <v/>
      </c>
      <c r="H39" s="7">
        <f>IF(F39="",0,MAX(0,G39-180))</f>
        <v/>
      </c>
      <c r="I39" s="7">
        <f>IF(E39="","",MAX(0,E39-H39))</f>
        <v/>
      </c>
      <c r="J39" s="7">
        <f>IF(E39="","",IF(I39&gt;=180,"Especialista",IF(I39&gt;=60,"Apto",IF(I39&gt;0,"Basico","Sem pratica"))))</f>
        <v/>
      </c>
    </row>
    <row r="40">
      <c r="B40" s="7" t="n"/>
      <c r="C40" s="7" t="n"/>
      <c r="D40" s="7" t="n"/>
      <c r="E40" s="7" t="n"/>
      <c r="F40" s="7" t="n"/>
      <c r="G40" s="7">
        <f>IF(F40="","",$C$5-F40)</f>
        <v/>
      </c>
      <c r="H40" s="7">
        <f>IF(F40="",0,MAX(0,G40-180))</f>
        <v/>
      </c>
      <c r="I40" s="7">
        <f>IF(E40="","",MAX(0,E40-H40))</f>
        <v/>
      </c>
      <c r="J40" s="7">
        <f>IF(E40="","",IF(I40&gt;=180,"Especialista",IF(I40&gt;=60,"Apto",IF(I40&gt;0,"Basico","Sem pratica"))))</f>
        <v/>
      </c>
    </row>
    <row r="41">
      <c r="B41" s="7" t="n"/>
      <c r="C41" s="7" t="n"/>
      <c r="D41" s="7" t="n"/>
      <c r="E41" s="7" t="n"/>
      <c r="F41" s="7" t="n"/>
      <c r="G41" s="7">
        <f>IF(F41="","",$C$5-F41)</f>
        <v/>
      </c>
      <c r="H41" s="7">
        <f>IF(F41="",0,MAX(0,G41-180))</f>
        <v/>
      </c>
      <c r="I41" s="7">
        <f>IF(E41="","",MAX(0,E41-H41))</f>
        <v/>
      </c>
      <c r="J41" s="7">
        <f>IF(E41="","",IF(I41&gt;=180,"Especialista",IF(I41&gt;=60,"Apto",IF(I41&gt;0,"Basico","Sem pratica"))))</f>
        <v/>
      </c>
    </row>
    <row r="42">
      <c r="B42" s="7" t="n"/>
      <c r="C42" s="7" t="n"/>
      <c r="D42" s="7" t="n"/>
      <c r="E42" s="7" t="n"/>
      <c r="F42" s="7" t="n"/>
      <c r="G42" s="7">
        <f>IF(F42="","",$C$5-F42)</f>
        <v/>
      </c>
      <c r="H42" s="7">
        <f>IF(F42="",0,MAX(0,G42-180))</f>
        <v/>
      </c>
      <c r="I42" s="7">
        <f>IF(E42="","",MAX(0,E42-H42))</f>
        <v/>
      </c>
      <c r="J42" s="7">
        <f>IF(E42="","",IF(I42&gt;=180,"Especialista",IF(I42&gt;=60,"Apto",IF(I42&gt;0,"Basico","Sem pratica"))))</f>
        <v/>
      </c>
    </row>
    <row r="43">
      <c r="B43" s="7" t="n"/>
      <c r="C43" s="7" t="n"/>
      <c r="D43" s="7" t="n"/>
      <c r="E43" s="7" t="n"/>
      <c r="F43" s="7" t="n"/>
      <c r="G43" s="7">
        <f>IF(F43="","",$C$5-F43)</f>
        <v/>
      </c>
      <c r="H43" s="7">
        <f>IF(F43="",0,MAX(0,G43-180))</f>
        <v/>
      </c>
      <c r="I43" s="7">
        <f>IF(E43="","",MAX(0,E43-H43))</f>
        <v/>
      </c>
      <c r="J43" s="7">
        <f>IF(E43="","",IF(I43&gt;=180,"Especialista",IF(I43&gt;=60,"Apto",IF(I43&gt;0,"Basico","Sem pratica"))))</f>
        <v/>
      </c>
    </row>
    <row r="44">
      <c r="B44" s="7" t="n"/>
      <c r="C44" s="7" t="n"/>
      <c r="D44" s="7" t="n"/>
      <c r="E44" s="7" t="n"/>
      <c r="F44" s="7" t="n"/>
      <c r="G44" s="7">
        <f>IF(F44="","",$C$5-F44)</f>
        <v/>
      </c>
      <c r="H44" s="7">
        <f>IF(F44="",0,MAX(0,G44-180))</f>
        <v/>
      </c>
      <c r="I44" s="7">
        <f>IF(E44="","",MAX(0,E44-H44))</f>
        <v/>
      </c>
      <c r="J44" s="7">
        <f>IF(E44="","",IF(I44&gt;=180,"Especialista",IF(I44&gt;=60,"Apto",IF(I44&gt;0,"Basico","Sem pratica"))))</f>
        <v/>
      </c>
    </row>
    <row r="45">
      <c r="B45" s="7" t="n"/>
      <c r="C45" s="7" t="n"/>
      <c r="D45" s="7" t="n"/>
      <c r="E45" s="7" t="n"/>
      <c r="F45" s="7" t="n"/>
      <c r="G45" s="7">
        <f>IF(F45="","",$C$5-F45)</f>
        <v/>
      </c>
      <c r="H45" s="7">
        <f>IF(F45="",0,MAX(0,G45-180))</f>
        <v/>
      </c>
      <c r="I45" s="7">
        <f>IF(E45="","",MAX(0,E45-H45))</f>
        <v/>
      </c>
      <c r="J45" s="7">
        <f>IF(E45="","",IF(I45&gt;=180,"Especialista",IF(I45&gt;=60,"Apto",IF(I45&gt;0,"Basico","Sem pratica"))))</f>
        <v/>
      </c>
    </row>
    <row r="46">
      <c r="B46" s="7" t="n"/>
      <c r="C46" s="7" t="n"/>
      <c r="D46" s="7" t="n"/>
      <c r="E46" s="7" t="n"/>
      <c r="F46" s="7" t="n"/>
      <c r="G46" s="7">
        <f>IF(F46="","",$C$5-F46)</f>
        <v/>
      </c>
      <c r="H46" s="7">
        <f>IF(F46="",0,MAX(0,G46-180))</f>
        <v/>
      </c>
      <c r="I46" s="7">
        <f>IF(E46="","",MAX(0,E46-H46))</f>
        <v/>
      </c>
      <c r="J46" s="7">
        <f>IF(E46="","",IF(I46&gt;=180,"Especialista",IF(I46&gt;=60,"Apto",IF(I46&gt;0,"Basico","Sem pratica"))))</f>
        <v/>
      </c>
    </row>
    <row r="47">
      <c r="B47" s="7" t="n"/>
      <c r="C47" s="7" t="n"/>
      <c r="D47" s="7" t="n"/>
      <c r="E47" s="7" t="n"/>
      <c r="F47" s="7" t="n"/>
      <c r="G47" s="7">
        <f>IF(F47="","",$C$5-F47)</f>
        <v/>
      </c>
      <c r="H47" s="7">
        <f>IF(F47="",0,MAX(0,G47-180))</f>
        <v/>
      </c>
      <c r="I47" s="7">
        <f>IF(E47="","",MAX(0,E47-H47))</f>
        <v/>
      </c>
      <c r="J47" s="7">
        <f>IF(E47="","",IF(I47&gt;=180,"Especialista",IF(I47&gt;=60,"Apto",IF(I47&gt;0,"Basico","Sem pratica"))))</f>
        <v/>
      </c>
    </row>
    <row r="48">
      <c r="B48" s="7" t="n"/>
      <c r="C48" s="7" t="n"/>
      <c r="D48" s="7" t="n"/>
      <c r="E48" s="7" t="n"/>
      <c r="F48" s="7" t="n"/>
      <c r="G48" s="7">
        <f>IF(F48="","",$C$5-F48)</f>
        <v/>
      </c>
      <c r="H48" s="7">
        <f>IF(F48="",0,MAX(0,G48-180))</f>
        <v/>
      </c>
      <c r="I48" s="7">
        <f>IF(E48="","",MAX(0,E48-H48))</f>
        <v/>
      </c>
      <c r="J48" s="7">
        <f>IF(E48="","",IF(I48&gt;=180,"Especialista",IF(I48&gt;=60,"Apto",IF(I48&gt;0,"Basico","Sem pratica"))))</f>
        <v/>
      </c>
    </row>
    <row r="49">
      <c r="B49" s="7" t="n"/>
      <c r="C49" s="7" t="n"/>
      <c r="D49" s="7" t="n"/>
      <c r="E49" s="7" t="n"/>
      <c r="F49" s="7" t="n"/>
      <c r="G49" s="7">
        <f>IF(F49="","",$C$5-F49)</f>
        <v/>
      </c>
      <c r="H49" s="7">
        <f>IF(F49="",0,MAX(0,G49-180))</f>
        <v/>
      </c>
      <c r="I49" s="7">
        <f>IF(E49="","",MAX(0,E49-H49))</f>
        <v/>
      </c>
      <c r="J49" s="7">
        <f>IF(E49="","",IF(I49&gt;=180,"Especialista",IF(I49&gt;=60,"Apto",IF(I49&gt;0,"Basico","Sem pratica"))))</f>
        <v/>
      </c>
    </row>
    <row r="50">
      <c r="B50" s="7" t="n"/>
      <c r="C50" s="7" t="n"/>
      <c r="D50" s="7" t="n"/>
      <c r="E50" s="7" t="n"/>
      <c r="F50" s="7" t="n"/>
      <c r="G50" s="7">
        <f>IF(F50="","",$C$5-F50)</f>
        <v/>
      </c>
      <c r="H50" s="7">
        <f>IF(F50="",0,MAX(0,G50-180))</f>
        <v/>
      </c>
      <c r="I50" s="7">
        <f>IF(E50="","",MAX(0,E50-H50))</f>
        <v/>
      </c>
      <c r="J50" s="7">
        <f>IF(E50="","",IF(I50&gt;=180,"Especialista",IF(I50&gt;=60,"Apto",IF(I50&gt;0,"Basico","Sem pratica"))))</f>
        <v/>
      </c>
    </row>
    <row r="51">
      <c r="B51" s="7" t="n"/>
      <c r="C51" s="7" t="n"/>
      <c r="D51" s="7" t="n"/>
      <c r="E51" s="7" t="n"/>
      <c r="F51" s="7" t="n"/>
      <c r="G51" s="7">
        <f>IF(F51="","",$C$5-F51)</f>
        <v/>
      </c>
      <c r="H51" s="7">
        <f>IF(F51="",0,MAX(0,G51-180))</f>
        <v/>
      </c>
      <c r="I51" s="7">
        <f>IF(E51="","",MAX(0,E51-H51))</f>
        <v/>
      </c>
      <c r="J51" s="7">
        <f>IF(E51="","",IF(I51&gt;=180,"Especialista",IF(I51&gt;=60,"Apto",IF(I51&gt;0,"Basico","Sem pratica"))))</f>
        <v/>
      </c>
    </row>
    <row r="52">
      <c r="B52" s="7" t="n"/>
      <c r="C52" s="7" t="n"/>
      <c r="D52" s="7" t="n"/>
      <c r="E52" s="7" t="n"/>
      <c r="F52" s="7" t="n"/>
      <c r="G52" s="7">
        <f>IF(F52="","",$C$5-F52)</f>
        <v/>
      </c>
      <c r="H52" s="7">
        <f>IF(F52="",0,MAX(0,G52-180))</f>
        <v/>
      </c>
      <c r="I52" s="7">
        <f>IF(E52="","",MAX(0,E52-H52))</f>
        <v/>
      </c>
      <c r="J52" s="7">
        <f>IF(E52="","",IF(I52&gt;=180,"Especialista",IF(I52&gt;=60,"Apto",IF(I52&gt;0,"Basico","Sem pratica"))))</f>
        <v/>
      </c>
    </row>
    <row r="53">
      <c r="B53" s="7" t="n"/>
      <c r="C53" s="7" t="n"/>
      <c r="D53" s="7" t="n"/>
      <c r="E53" s="7" t="n"/>
      <c r="F53" s="7" t="n"/>
      <c r="G53" s="7">
        <f>IF(F53="","",$C$5-F53)</f>
        <v/>
      </c>
      <c r="H53" s="7">
        <f>IF(F53="",0,MAX(0,G53-180))</f>
        <v/>
      </c>
      <c r="I53" s="7">
        <f>IF(E53="","",MAX(0,E53-H53))</f>
        <v/>
      </c>
      <c r="J53" s="7">
        <f>IF(E53="","",IF(I53&gt;=180,"Especialista",IF(I53&gt;=60,"Apto",IF(I53&gt;0,"Basico","Sem pratica"))))</f>
        <v/>
      </c>
    </row>
  </sheetData>
  <mergeCells count="2">
    <mergeCell ref="B3:I3"/>
    <mergeCell ref="B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H34"/>
  <sheetViews>
    <sheetView showGridLines="0" workbookViewId="0">
      <selection activeCell="A1" sqref="A1"/>
    </sheetView>
  </sheetViews>
  <sheetFormatPr baseColWidth="8" defaultRowHeight="15"/>
  <cols>
    <col width="3" customWidth="1" min="1" max="1"/>
    <col width="8" customWidth="1" min="2" max="2"/>
    <col width="26" customWidth="1" min="3" max="3"/>
    <col width="14" customWidth="1" min="4" max="4"/>
    <col width="16" customWidth="1" min="5" max="5"/>
    <col width="10" customWidth="1" min="6" max="6"/>
    <col width="10" customWidth="1" min="7" max="7"/>
    <col width="18" customWidth="1" min="8" max="8"/>
  </cols>
  <sheetData>
    <row r="2">
      <c r="B2" s="1" t="inlineStr">
        <is>
          <t>CONTROLE DE HORAS EXTRAS (limite 52h/mes)</t>
        </is>
      </c>
    </row>
    <row r="4">
      <c r="B4" s="3" t="inlineStr">
        <is>
          <t>ID</t>
        </is>
      </c>
      <c r="C4" s="3" t="inlineStr">
        <is>
          <t>Funcionario</t>
        </is>
      </c>
      <c r="D4" s="3" t="inlineStr">
        <is>
          <t>Mes/Ano</t>
        </is>
      </c>
      <c r="E4" s="3" t="inlineStr">
        <is>
          <t>Horas realizadas</t>
        </is>
      </c>
      <c r="F4" s="3" t="inlineStr">
        <is>
          <t>Limite</t>
        </is>
      </c>
      <c r="G4" s="3" t="inlineStr">
        <is>
          <t>Saldo</t>
        </is>
      </c>
      <c r="H4" s="3" t="inlineStr">
        <is>
          <t>Status</t>
        </is>
      </c>
    </row>
    <row r="5">
      <c r="B5" s="10" t="n">
        <v>1</v>
      </c>
      <c r="C5" s="10" t="inlineStr">
        <is>
          <t>Felipe Generoso</t>
        </is>
      </c>
      <c r="D5" s="10" t="inlineStr">
        <is>
          <t>06/2026</t>
        </is>
      </c>
      <c r="E5" s="10" t="n">
        <v>34</v>
      </c>
      <c r="F5" s="10" t="n">
        <v>52</v>
      </c>
      <c r="G5" s="10">
        <f>IF(E5="","",F5-E5)</f>
        <v/>
      </c>
      <c r="H5" s="10">
        <f>IF(E5="","",IF(E5&gt;F5,"EXCEDIDO",IF(E5&gt;=F5*0.9,"ATENCAO","OK")))</f>
        <v/>
      </c>
    </row>
    <row r="6">
      <c r="B6" s="10" t="n">
        <v>7</v>
      </c>
      <c r="C6" s="10" t="inlineStr">
        <is>
          <t>Samuel Mazoni</t>
        </is>
      </c>
      <c r="D6" s="10" t="inlineStr">
        <is>
          <t>06/2026</t>
        </is>
      </c>
      <c r="E6" s="10" t="n">
        <v>51</v>
      </c>
      <c r="F6" s="10" t="n">
        <v>52</v>
      </c>
      <c r="G6" s="10">
        <f>IF(E6="","",F6-E6)</f>
        <v/>
      </c>
      <c r="H6" s="10">
        <f>IF(E6="","",IF(E6&gt;F6,"EXCEDIDO",IF(E6&gt;=F6*0.9,"ATENCAO","OK")))</f>
        <v/>
      </c>
    </row>
    <row r="7">
      <c r="B7" s="10" t="n">
        <v>25</v>
      </c>
      <c r="C7" s="10" t="inlineStr">
        <is>
          <t>Erick Garcia</t>
        </is>
      </c>
      <c r="D7" s="10" t="inlineStr">
        <is>
          <t>06/2026</t>
        </is>
      </c>
      <c r="E7" s="10" t="n">
        <v>17</v>
      </c>
      <c r="F7" s="10" t="n">
        <v>52</v>
      </c>
      <c r="G7" s="10">
        <f>IF(E7="","",F7-E7)</f>
        <v/>
      </c>
      <c r="H7" s="10">
        <f>IF(E7="","",IF(E7&gt;F7,"EXCEDIDO",IF(E7&gt;=F7*0.9,"ATENCAO","OK")))</f>
        <v/>
      </c>
    </row>
    <row r="8">
      <c r="B8" s="7" t="n"/>
      <c r="C8" s="7" t="n"/>
      <c r="D8" s="7" t="n"/>
      <c r="E8" s="7" t="n"/>
      <c r="F8" s="7" t="n">
        <v>52</v>
      </c>
      <c r="G8" s="7">
        <f>IF(E8="","",F8-E8)</f>
        <v/>
      </c>
      <c r="H8" s="7">
        <f>IF(E8="","",IF(E8&gt;F8,"EXCEDIDO",IF(E8&gt;=F8*0.9,"ATENCAO","OK")))</f>
        <v/>
      </c>
    </row>
    <row r="9">
      <c r="B9" s="7" t="n"/>
      <c r="C9" s="7" t="n"/>
      <c r="D9" s="7" t="n"/>
      <c r="E9" s="7" t="n"/>
      <c r="F9" s="7" t="n">
        <v>52</v>
      </c>
      <c r="G9" s="7">
        <f>IF(E9="","",F9-E9)</f>
        <v/>
      </c>
      <c r="H9" s="7">
        <f>IF(E9="","",IF(E9&gt;F9,"EXCEDIDO",IF(E9&gt;=F9*0.9,"ATENCAO","OK")))</f>
        <v/>
      </c>
    </row>
    <row r="10">
      <c r="B10" s="7" t="n"/>
      <c r="C10" s="7" t="n"/>
      <c r="D10" s="7" t="n"/>
      <c r="E10" s="7" t="n"/>
      <c r="F10" s="7" t="n">
        <v>52</v>
      </c>
      <c r="G10" s="7">
        <f>IF(E10="","",F10-E10)</f>
        <v/>
      </c>
      <c r="H10" s="7">
        <f>IF(E10="","",IF(E10&gt;F10,"EXCEDIDO",IF(E10&gt;=F10*0.9,"ATENCAO","OK")))</f>
        <v/>
      </c>
    </row>
    <row r="11">
      <c r="B11" s="7" t="n"/>
      <c r="C11" s="7" t="n"/>
      <c r="D11" s="7" t="n"/>
      <c r="E11" s="7" t="n"/>
      <c r="F11" s="7" t="n">
        <v>52</v>
      </c>
      <c r="G11" s="7">
        <f>IF(E11="","",F11-E11)</f>
        <v/>
      </c>
      <c r="H11" s="7">
        <f>IF(E11="","",IF(E11&gt;F11,"EXCEDIDO",IF(E11&gt;=F11*0.9,"ATENCAO","OK")))</f>
        <v/>
      </c>
    </row>
    <row r="12">
      <c r="B12" s="7" t="n"/>
      <c r="C12" s="7" t="n"/>
      <c r="D12" s="7" t="n"/>
      <c r="E12" s="7" t="n"/>
      <c r="F12" s="7" t="n">
        <v>52</v>
      </c>
      <c r="G12" s="7">
        <f>IF(E12="","",F12-E12)</f>
        <v/>
      </c>
      <c r="H12" s="7">
        <f>IF(E12="","",IF(E12&gt;F12,"EXCEDIDO",IF(E12&gt;=F12*0.9,"ATENCAO","OK")))</f>
        <v/>
      </c>
    </row>
    <row r="13">
      <c r="B13" s="7" t="n"/>
      <c r="C13" s="7" t="n"/>
      <c r="D13" s="7" t="n"/>
      <c r="E13" s="7" t="n"/>
      <c r="F13" s="7" t="n">
        <v>52</v>
      </c>
      <c r="G13" s="7">
        <f>IF(E13="","",F13-E13)</f>
        <v/>
      </c>
      <c r="H13" s="7">
        <f>IF(E13="","",IF(E13&gt;F13,"EXCEDIDO",IF(E13&gt;=F13*0.9,"ATENCAO","OK")))</f>
        <v/>
      </c>
    </row>
    <row r="14">
      <c r="B14" s="7" t="n"/>
      <c r="C14" s="7" t="n"/>
      <c r="D14" s="7" t="n"/>
      <c r="E14" s="7" t="n"/>
      <c r="F14" s="7" t="n">
        <v>52</v>
      </c>
      <c r="G14" s="7">
        <f>IF(E14="","",F14-E14)</f>
        <v/>
      </c>
      <c r="H14" s="7">
        <f>IF(E14="","",IF(E14&gt;F14,"EXCEDIDO",IF(E14&gt;=F14*0.9,"ATENCAO","OK")))</f>
        <v/>
      </c>
    </row>
    <row r="15">
      <c r="B15" s="7" t="n"/>
      <c r="C15" s="7" t="n"/>
      <c r="D15" s="7" t="n"/>
      <c r="E15" s="7" t="n"/>
      <c r="F15" s="7" t="n">
        <v>52</v>
      </c>
      <c r="G15" s="7">
        <f>IF(E15="","",F15-E15)</f>
        <v/>
      </c>
      <c r="H15" s="7">
        <f>IF(E15="","",IF(E15&gt;F15,"EXCEDIDO",IF(E15&gt;=F15*0.9,"ATENCAO","OK")))</f>
        <v/>
      </c>
    </row>
    <row r="16">
      <c r="B16" s="7" t="n"/>
      <c r="C16" s="7" t="n"/>
      <c r="D16" s="7" t="n"/>
      <c r="E16" s="7" t="n"/>
      <c r="F16" s="7" t="n">
        <v>52</v>
      </c>
      <c r="G16" s="7">
        <f>IF(E16="","",F16-E16)</f>
        <v/>
      </c>
      <c r="H16" s="7">
        <f>IF(E16="","",IF(E16&gt;F16,"EXCEDIDO",IF(E16&gt;=F16*0.9,"ATENCAO","OK")))</f>
        <v/>
      </c>
    </row>
    <row r="17">
      <c r="B17" s="7" t="n"/>
      <c r="C17" s="7" t="n"/>
      <c r="D17" s="7" t="n"/>
      <c r="E17" s="7" t="n"/>
      <c r="F17" s="7" t="n">
        <v>52</v>
      </c>
      <c r="G17" s="7">
        <f>IF(E17="","",F17-E17)</f>
        <v/>
      </c>
      <c r="H17" s="7">
        <f>IF(E17="","",IF(E17&gt;F17,"EXCEDIDO",IF(E17&gt;=F17*0.9,"ATENCAO","OK")))</f>
        <v/>
      </c>
    </row>
    <row r="18">
      <c r="B18" s="7" t="n"/>
      <c r="C18" s="7" t="n"/>
      <c r="D18" s="7" t="n"/>
      <c r="E18" s="7" t="n"/>
      <c r="F18" s="7" t="n">
        <v>52</v>
      </c>
      <c r="G18" s="7">
        <f>IF(E18="","",F18-E18)</f>
        <v/>
      </c>
      <c r="H18" s="7">
        <f>IF(E18="","",IF(E18&gt;F18,"EXCEDIDO",IF(E18&gt;=F18*0.9,"ATENCAO","OK")))</f>
        <v/>
      </c>
    </row>
    <row r="19">
      <c r="B19" s="7" t="n"/>
      <c r="C19" s="7" t="n"/>
      <c r="D19" s="7" t="n"/>
      <c r="E19" s="7" t="n"/>
      <c r="F19" s="7" t="n">
        <v>52</v>
      </c>
      <c r="G19" s="7">
        <f>IF(E19="","",F19-E19)</f>
        <v/>
      </c>
      <c r="H19" s="7">
        <f>IF(E19="","",IF(E19&gt;F19,"EXCEDIDO",IF(E19&gt;=F19*0.9,"ATENCAO","OK")))</f>
        <v/>
      </c>
    </row>
    <row r="20">
      <c r="B20" s="7" t="n"/>
      <c r="C20" s="7" t="n"/>
      <c r="D20" s="7" t="n"/>
      <c r="E20" s="7" t="n"/>
      <c r="F20" s="7" t="n">
        <v>52</v>
      </c>
      <c r="G20" s="7">
        <f>IF(E20="","",F20-E20)</f>
        <v/>
      </c>
      <c r="H20" s="7">
        <f>IF(E20="","",IF(E20&gt;F20,"EXCEDIDO",IF(E20&gt;=F20*0.9,"ATENCAO","OK")))</f>
        <v/>
      </c>
    </row>
    <row r="21">
      <c r="B21" s="7" t="n"/>
      <c r="C21" s="7" t="n"/>
      <c r="D21" s="7" t="n"/>
      <c r="E21" s="7" t="n"/>
      <c r="F21" s="7" t="n">
        <v>52</v>
      </c>
      <c r="G21" s="7">
        <f>IF(E21="","",F21-E21)</f>
        <v/>
      </c>
      <c r="H21" s="7">
        <f>IF(E21="","",IF(E21&gt;F21,"EXCEDIDO",IF(E21&gt;=F21*0.9,"ATENCAO","OK")))</f>
        <v/>
      </c>
    </row>
    <row r="22">
      <c r="B22" s="7" t="n"/>
      <c r="C22" s="7" t="n"/>
      <c r="D22" s="7" t="n"/>
      <c r="E22" s="7" t="n"/>
      <c r="F22" s="7" t="n">
        <v>52</v>
      </c>
      <c r="G22" s="7">
        <f>IF(E22="","",F22-E22)</f>
        <v/>
      </c>
      <c r="H22" s="7">
        <f>IF(E22="","",IF(E22&gt;F22,"EXCEDIDO",IF(E22&gt;=F22*0.9,"ATENCAO","OK")))</f>
        <v/>
      </c>
    </row>
    <row r="23">
      <c r="B23" s="7" t="n"/>
      <c r="C23" s="7" t="n"/>
      <c r="D23" s="7" t="n"/>
      <c r="E23" s="7" t="n"/>
      <c r="F23" s="7" t="n">
        <v>52</v>
      </c>
      <c r="G23" s="7">
        <f>IF(E23="","",F23-E23)</f>
        <v/>
      </c>
      <c r="H23" s="7">
        <f>IF(E23="","",IF(E23&gt;F23,"EXCEDIDO",IF(E23&gt;=F23*0.9,"ATENCAO","OK")))</f>
        <v/>
      </c>
    </row>
    <row r="24">
      <c r="B24" s="7" t="n"/>
      <c r="C24" s="7" t="n"/>
      <c r="D24" s="7" t="n"/>
      <c r="E24" s="7" t="n"/>
      <c r="F24" s="7" t="n">
        <v>52</v>
      </c>
      <c r="G24" s="7">
        <f>IF(E24="","",F24-E24)</f>
        <v/>
      </c>
      <c r="H24" s="7">
        <f>IF(E24="","",IF(E24&gt;F24,"EXCEDIDO",IF(E24&gt;=F24*0.9,"ATENCAO","OK")))</f>
        <v/>
      </c>
    </row>
    <row r="25">
      <c r="B25" s="7" t="n"/>
      <c r="C25" s="7" t="n"/>
      <c r="D25" s="7" t="n"/>
      <c r="E25" s="7" t="n"/>
      <c r="F25" s="7" t="n">
        <v>52</v>
      </c>
      <c r="G25" s="7">
        <f>IF(E25="","",F25-E25)</f>
        <v/>
      </c>
      <c r="H25" s="7">
        <f>IF(E25="","",IF(E25&gt;F25,"EXCEDIDO",IF(E25&gt;=F25*0.9,"ATENCAO","OK")))</f>
        <v/>
      </c>
    </row>
    <row r="26">
      <c r="B26" s="7" t="n"/>
      <c r="C26" s="7" t="n"/>
      <c r="D26" s="7" t="n"/>
      <c r="E26" s="7" t="n"/>
      <c r="F26" s="7" t="n">
        <v>52</v>
      </c>
      <c r="G26" s="7">
        <f>IF(E26="","",F26-E26)</f>
        <v/>
      </c>
      <c r="H26" s="7">
        <f>IF(E26="","",IF(E26&gt;F26,"EXCEDIDO",IF(E26&gt;=F26*0.9,"ATENCAO","OK")))</f>
        <v/>
      </c>
    </row>
    <row r="27">
      <c r="B27" s="7" t="n"/>
      <c r="C27" s="7" t="n"/>
      <c r="D27" s="7" t="n"/>
      <c r="E27" s="7" t="n"/>
      <c r="F27" s="7" t="n">
        <v>52</v>
      </c>
      <c r="G27" s="7">
        <f>IF(E27="","",F27-E27)</f>
        <v/>
      </c>
      <c r="H27" s="7">
        <f>IF(E27="","",IF(E27&gt;F27,"EXCEDIDO",IF(E27&gt;=F27*0.9,"ATENCAO","OK")))</f>
        <v/>
      </c>
    </row>
    <row r="28">
      <c r="B28" s="7" t="n"/>
      <c r="C28" s="7" t="n"/>
      <c r="D28" s="7" t="n"/>
      <c r="E28" s="7" t="n"/>
      <c r="F28" s="7" t="n">
        <v>52</v>
      </c>
      <c r="G28" s="7">
        <f>IF(E28="","",F28-E28)</f>
        <v/>
      </c>
      <c r="H28" s="7">
        <f>IF(E28="","",IF(E28&gt;F28,"EXCEDIDO",IF(E28&gt;=F28*0.9,"ATENCAO","OK")))</f>
        <v/>
      </c>
    </row>
    <row r="29">
      <c r="B29" s="7" t="n"/>
      <c r="C29" s="7" t="n"/>
      <c r="D29" s="7" t="n"/>
      <c r="E29" s="7" t="n"/>
      <c r="F29" s="7" t="n">
        <v>52</v>
      </c>
      <c r="G29" s="7">
        <f>IF(E29="","",F29-E29)</f>
        <v/>
      </c>
      <c r="H29" s="7">
        <f>IF(E29="","",IF(E29&gt;F29,"EXCEDIDO",IF(E29&gt;=F29*0.9,"ATENCAO","OK")))</f>
        <v/>
      </c>
    </row>
    <row r="30">
      <c r="B30" s="7" t="n"/>
      <c r="C30" s="7" t="n"/>
      <c r="D30" s="7" t="n"/>
      <c r="E30" s="7" t="n"/>
      <c r="F30" s="7" t="n">
        <v>52</v>
      </c>
      <c r="G30" s="7">
        <f>IF(E30="","",F30-E30)</f>
        <v/>
      </c>
      <c r="H30" s="7">
        <f>IF(E30="","",IF(E30&gt;F30,"EXCEDIDO",IF(E30&gt;=F30*0.9,"ATENCAO","OK")))</f>
        <v/>
      </c>
    </row>
    <row r="31">
      <c r="B31" s="7" t="n"/>
      <c r="C31" s="7" t="n"/>
      <c r="D31" s="7" t="n"/>
      <c r="E31" s="7" t="n"/>
      <c r="F31" s="7" t="n">
        <v>52</v>
      </c>
      <c r="G31" s="7">
        <f>IF(E31="","",F31-E31)</f>
        <v/>
      </c>
      <c r="H31" s="7">
        <f>IF(E31="","",IF(E31&gt;F31,"EXCEDIDO",IF(E31&gt;=F31*0.9,"ATENCAO","OK")))</f>
        <v/>
      </c>
    </row>
    <row r="32">
      <c r="B32" s="7" t="n"/>
      <c r="C32" s="7" t="n"/>
      <c r="D32" s="7" t="n"/>
      <c r="E32" s="7" t="n"/>
      <c r="F32" s="7" t="n">
        <v>52</v>
      </c>
      <c r="G32" s="7">
        <f>IF(E32="","",F32-E32)</f>
        <v/>
      </c>
      <c r="H32" s="7">
        <f>IF(E32="","",IF(E32&gt;F32,"EXCEDIDO",IF(E32&gt;=F32*0.9,"ATENCAO","OK")))</f>
        <v/>
      </c>
    </row>
    <row r="33">
      <c r="B33" s="7" t="n"/>
      <c r="C33" s="7" t="n"/>
      <c r="D33" s="7" t="n"/>
      <c r="E33" s="7" t="n"/>
      <c r="F33" s="7" t="n">
        <v>52</v>
      </c>
      <c r="G33" s="7">
        <f>IF(E33="","",F33-E33)</f>
        <v/>
      </c>
      <c r="H33" s="7">
        <f>IF(E33="","",IF(E33&gt;F33,"EXCEDIDO",IF(E33&gt;=F33*0.9,"ATENCAO","OK")))</f>
        <v/>
      </c>
    </row>
    <row r="34">
      <c r="B34" s="7" t="n"/>
      <c r="C34" s="7" t="n"/>
      <c r="D34" s="7" t="n"/>
      <c r="E34" s="7" t="n"/>
      <c r="F34" s="7" t="n">
        <v>52</v>
      </c>
      <c r="G34" s="7">
        <f>IF(E34="","",F34-E34)</f>
        <v/>
      </c>
      <c r="H34" s="7">
        <f>IF(E34="","",IF(E34&gt;F34,"EXCEDIDO",IF(E34&gt;=F34*0.9,"ATENCAO","OK")))</f>
        <v/>
      </c>
    </row>
  </sheetData>
  <mergeCells count="1">
    <mergeCell ref="B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2026-06-04T12:03:49Z</dcterms:created>
  <dcterms:modified xsi:type="dcterms:W3CDTF">2026-06-04T12:03:49Z</dcterms:modified>
</cp:coreProperties>
</file>